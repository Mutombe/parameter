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drawings/drawing2.xml" ContentType="application/vnd.openxmlformats-officedocument.drawing+xml"/>
  <Override PartName="/xl/activeX/activeX2.xml" ContentType="application/vnd.ms-office.activeX+xml"/>
  <Override PartName="/xl/printerSettings/printerSettings1.bin" ContentType="application/vnd.openxmlformats-officedocument.spreadsheetml.printerSettings"/>
  <Override PartName="/xl/printerSettings/printerSettings2.bin" ContentType="application/vnd.openxmlformats-officedocument.spreadsheetml.printerSettings"/>
  <Override PartName="/xl/drawings/drawing3.xml" ContentType="application/vnd.openxmlformats-officedocument.drawing+xml"/>
  <Override PartName="/xl/activeX/activeX3.xml" ContentType="application/vnd.ms-office.activeX+xml"/>
  <Override PartName="/xl/printerSettings/printerSettings3.bin" ContentType="application/vnd.openxmlformats-officedocument.spreadsheetml.printerSettings"/>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GiftChipunza\Documents\SOFTWARE DOCUMENTATION\"/>
    </mc:Choice>
  </mc:AlternateContent>
  <xr:revisionPtr revIDLastSave="0" documentId="13_ncr:1_{E4C77321-C59C-4D06-BA45-50CD510032D9}" xr6:coauthVersionLast="47" xr6:coauthVersionMax="47" xr10:uidLastSave="{00000000-0000-0000-0000-000000000000}"/>
  <bookViews>
    <workbookView xWindow="-108" yWindow="-108" windowWidth="23256" windowHeight="12456" xr2:uid="{00000000-000D-0000-FFFF-FFFF00000000}"/>
  </bookViews>
  <sheets>
    <sheet name="LANDLORD ACC DETAILED VIEW-LEVY" sheetId="28" r:id="rId1"/>
    <sheet name="NOV 25" sheetId="23" state="hidden" r:id="rId2"/>
    <sheet name="October25" sheetId="22" state="hidden" r:id="rId3"/>
    <sheet name="Sept" sheetId="21" state="hidden" r:id="rId4"/>
    <sheet name="August25" sheetId="20" state="hidden" r:id="rId5"/>
    <sheet name="june25" sheetId="19" state="hidden" r:id="rId6"/>
    <sheet name="May25" sheetId="18" state="hidden" r:id="rId7"/>
    <sheet name="April 25" sheetId="17" state="hidden" r:id="rId8"/>
    <sheet name="MARCH 25" sheetId="16" state="hidden" r:id="rId9"/>
    <sheet name="FEB" sheetId="15" state="hidden" r:id="rId10"/>
    <sheet name="January" sheetId="14" state="hidden" r:id="rId11"/>
    <sheet name="OCtober" sheetId="11" state="hidden" r:id="rId12"/>
    <sheet name="September" sheetId="10" state="hidden" r:id="rId13"/>
    <sheet name="August" sheetId="9" state="hidden" r:id="rId14"/>
    <sheet name="july 25" sheetId="8" state="hidden" r:id="rId15"/>
    <sheet name="JUNE" sheetId="7" state="hidden"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0" i="28" l="1"/>
  <c r="F110" i="28"/>
  <c r="H74" i="28"/>
  <c r="H75" i="28" s="1"/>
  <c r="H76" i="28" s="1"/>
  <c r="H77" i="28" s="1"/>
  <c r="H78" i="28" s="1"/>
  <c r="H79" i="28" s="1"/>
  <c r="H80" i="28" s="1"/>
  <c r="H81" i="28" s="1"/>
  <c r="H82" i="28" s="1"/>
  <c r="H83" i="28" s="1"/>
  <c r="H84" i="28" s="1"/>
  <c r="H85" i="28" s="1"/>
  <c r="H86" i="28" s="1"/>
  <c r="H87" i="28" s="1"/>
  <c r="H88" i="28" s="1"/>
  <c r="H89" i="28" s="1"/>
  <c r="H90" i="28" s="1"/>
  <c r="H91" i="28" s="1"/>
  <c r="H92" i="28" s="1"/>
  <c r="H93" i="28" s="1"/>
  <c r="H94" i="28" s="1"/>
  <c r="H95" i="28" s="1"/>
  <c r="H96" i="28" s="1"/>
  <c r="H97" i="28" s="1"/>
  <c r="H98" i="28" s="1"/>
  <c r="H99" i="28" s="1"/>
  <c r="H100" i="28" s="1"/>
  <c r="H101" i="28" s="1"/>
  <c r="H102" i="28" s="1"/>
  <c r="H103" i="28" s="1"/>
  <c r="H104" i="28" s="1"/>
  <c r="H105" i="28" s="1"/>
  <c r="H106" i="28" s="1"/>
  <c r="H107" i="28" s="1"/>
  <c r="H108" i="28" s="1"/>
  <c r="H109" i="28" s="1"/>
  <c r="G51" i="28"/>
  <c r="F51" i="28"/>
  <c r="H15" i="28"/>
  <c r="H16" i="28" s="1"/>
  <c r="H17" i="28" s="1"/>
  <c r="H18" i="28" s="1"/>
  <c r="H19" i="28" s="1"/>
  <c r="H20" i="28" s="1"/>
  <c r="H21" i="28" s="1"/>
  <c r="H22" i="28" s="1"/>
  <c r="H23" i="28" s="1"/>
  <c r="H24" i="28" s="1"/>
  <c r="H25" i="28" s="1"/>
  <c r="H26" i="28" s="1"/>
  <c r="H27" i="28" s="1"/>
  <c r="H28" i="28" s="1"/>
  <c r="H29" i="28" s="1"/>
  <c r="H30" i="28" s="1"/>
  <c r="H31" i="28" s="1"/>
  <c r="H32" i="28" s="1"/>
  <c r="H33" i="28" s="1"/>
  <c r="H34" i="28" s="1"/>
  <c r="H35" i="28" s="1"/>
  <c r="H36" i="28" s="1"/>
  <c r="H37" i="28" s="1"/>
  <c r="H38" i="28" s="1"/>
  <c r="H39" i="28" s="1"/>
  <c r="H40" i="28" s="1"/>
  <c r="H41" i="28" s="1"/>
  <c r="H42" i="28" s="1"/>
  <c r="H43" i="28" s="1"/>
  <c r="H44" i="28" s="1"/>
  <c r="H45" i="28" s="1"/>
  <c r="H46" i="28" s="1"/>
  <c r="H47" i="28" s="1"/>
  <c r="H48" i="28" s="1"/>
  <c r="H49" i="28" s="1"/>
  <c r="H50" i="28" s="1"/>
  <c r="T29" i="23" l="1"/>
  <c r="T28" i="23"/>
  <c r="U27" i="23"/>
  <c r="W29" i="22"/>
  <c r="X28" i="22"/>
  <c r="W28" i="22"/>
  <c r="X29" i="21"/>
  <c r="X28" i="21"/>
  <c r="E44" i="8"/>
  <c r="Y29" i="8"/>
  <c r="Y28" i="8"/>
  <c r="P30" i="19"/>
  <c r="P29" i="19"/>
  <c r="P28" i="19"/>
  <c r="X30" i="18"/>
  <c r="X29" i="18"/>
  <c r="X28" i="18"/>
  <c r="W30" i="17"/>
  <c r="W29" i="17"/>
  <c r="W28" i="17"/>
  <c r="W30" i="16"/>
  <c r="W29" i="16"/>
  <c r="W28" i="16"/>
  <c r="G12" i="15"/>
  <c r="G13" i="15"/>
  <c r="G14" i="15"/>
  <c r="G15" i="15"/>
  <c r="G16" i="15" s="1"/>
  <c r="G17" i="15" s="1"/>
  <c r="G18" i="15" s="1"/>
  <c r="G19" i="15" s="1"/>
  <c r="G20" i="15" s="1"/>
  <c r="G21" i="15" s="1"/>
  <c r="G22" i="15" s="1"/>
  <c r="G23" i="15" s="1"/>
  <c r="G24" i="15" s="1"/>
  <c r="G25" i="15" s="1"/>
  <c r="G26" i="15" s="1"/>
  <c r="G27" i="15" s="1"/>
  <c r="G28" i="15" s="1"/>
  <c r="G29" i="15" s="1"/>
  <c r="G30" i="15" s="1"/>
  <c r="G31" i="15" s="1"/>
  <c r="G32" i="15" s="1"/>
  <c r="G33" i="15" s="1"/>
  <c r="G34" i="15" s="1"/>
  <c r="G35" i="15" s="1"/>
  <c r="G36" i="15" s="1"/>
  <c r="G37" i="15" s="1"/>
  <c r="G38" i="15" s="1"/>
  <c r="G39" i="15" s="1"/>
  <c r="G40" i="15" s="1"/>
  <c r="G11" i="15"/>
  <c r="G10" i="15"/>
  <c r="W30" i="15"/>
  <c r="W29" i="15"/>
  <c r="W28" i="15"/>
  <c r="X30" i="14" l="1"/>
  <c r="X29" i="14"/>
  <c r="X28" i="14"/>
  <c r="X30" i="11" l="1"/>
  <c r="X29" i="11"/>
  <c r="X28" i="11"/>
  <c r="X30" i="10"/>
  <c r="X29" i="10"/>
  <c r="X28" i="10"/>
  <c r="G21" i="9"/>
  <c r="X30" i="9"/>
  <c r="X29" i="9"/>
  <c r="X28" i="9"/>
  <c r="X28" i="7" l="1"/>
  <c r="X29" i="7" s="1"/>
  <c r="H13" i="7"/>
  <c r="D76" i="7"/>
  <c r="E75" i="7"/>
</calcChain>
</file>

<file path=xl/sharedStrings.xml><?xml version="1.0" encoding="utf-8"?>
<sst xmlns="http://schemas.openxmlformats.org/spreadsheetml/2006/main" count="1550" uniqueCount="454">
  <si>
    <t>Balance B/F</t>
  </si>
  <si>
    <t>Amount Due</t>
  </si>
  <si>
    <t>Amount Paid</t>
  </si>
  <si>
    <t>Carried Forward</t>
  </si>
  <si>
    <t>Statement</t>
  </si>
  <si>
    <r>
      <t>Account Currency:</t>
    </r>
    <r>
      <rPr>
        <sz val="8"/>
        <color rgb="FF616669"/>
        <rFont val="Verdana"/>
        <family val="2"/>
      </rPr>
      <t>USD</t>
    </r>
  </si>
  <si>
    <t>ID</t>
  </si>
  <si>
    <t>Date</t>
  </si>
  <si>
    <t>Description</t>
  </si>
  <si>
    <t>Debit</t>
  </si>
  <si>
    <t>Credit</t>
  </si>
  <si>
    <t>Balance</t>
  </si>
  <si>
    <t>Balance brought forward</t>
  </si>
  <si>
    <t>Roll Over Summary</t>
  </si>
  <si>
    <t>Currency: USD</t>
  </si>
  <si>
    <t>LeaseID</t>
  </si>
  <si>
    <t>Tenant</t>
  </si>
  <si>
    <t>Amount Charged</t>
  </si>
  <si>
    <r>
      <t>Account Currency:</t>
    </r>
    <r>
      <rPr>
        <sz val="8"/>
        <color rgb="FF616669"/>
        <rFont val="Verdana"/>
        <family val="2"/>
      </rPr>
      <t>ZIG</t>
    </r>
  </si>
  <si>
    <r>
      <t>Account Holder:</t>
    </r>
    <r>
      <rPr>
        <sz val="8"/>
        <color rgb="FF616669"/>
        <rFont val="Verdana"/>
        <family val="2"/>
      </rPr>
      <t> Coronation Gardens Onwers Association</t>
    </r>
  </si>
  <si>
    <r>
      <t>Account ID:</t>
    </r>
    <r>
      <rPr>
        <sz val="8"/>
        <color rgb="FF616669"/>
        <rFont val="Verdana"/>
        <family val="2"/>
      </rPr>
      <t>58345</t>
    </r>
  </si>
  <si>
    <r>
      <t>Transaction Period:</t>
    </r>
    <r>
      <rPr>
        <sz val="8"/>
        <color rgb="FF616669"/>
        <rFont val="Verdana"/>
        <family val="2"/>
      </rPr>
      <t>2024-06-01 - 2024-06-30</t>
    </r>
  </si>
  <si>
    <t>Journal ref-cash received from previous management team-Coronation Gardens</t>
  </si>
  <si>
    <t>Payment Leaseid-5817 Agnes Furidze 1 Coronation Ref-LEVY - 1 CORONATION</t>
  </si>
  <si>
    <t>Levy Commission Leaseid-5817 Ref-LEVY - 1 CORONATION</t>
  </si>
  <si>
    <t>Payment Leaseid-5819 Eva Mutangadura 2 Coronation Ref-LEVY - 2 CORONATION</t>
  </si>
  <si>
    <t>Levy Commission Leaseid-5819 Ref-LEVY - 2 CORONATION</t>
  </si>
  <si>
    <t>Payment Leaseid-5820 Kudzanayi Kachere 3 Coronation Ref-LEVY - 3 CORONATION</t>
  </si>
  <si>
    <t>Levy Commission Leaseid-5820 Ref-LEVY - 3 CORONATION</t>
  </si>
  <si>
    <t>Payment Leaseid-5821 Hebros Dubai 4 Coronation Ref-LEVY - 4 CORONATION</t>
  </si>
  <si>
    <t>Levy Commission Leaseid-5821 Ref-LEVY - 4 CORONATION</t>
  </si>
  <si>
    <t>Payment Leaseid-5822 Tatenda Ngowe 5 Coronation Ref-LEVY - 5 CORONATION</t>
  </si>
  <si>
    <t>Levy Commission Leaseid-5822 Ref-LEVY - 5 CORONATION</t>
  </si>
  <si>
    <t>Payment Leaseid-5823 Maud Silibaziso 6 Coronation Ref-LEVY - 6 CORONATION</t>
  </si>
  <si>
    <t>Levy Commission Leaseid-5823 Ref-LEVY - 6 CORONATION</t>
  </si>
  <si>
    <t>Payment Leaseid-5824 Gibson Taruwinga 7 Coronation Ref-LEVY - 7 CORONATION</t>
  </si>
  <si>
    <t>Levy Commission Leaseid-5824 Ref-LEVY - 7 CORONATION</t>
  </si>
  <si>
    <t>Payment Leaseid-5825 Lody Machiwenyika 8 Coronation Ref-LEVY - 8 CORONATION</t>
  </si>
  <si>
    <t>Levy Commission Leaseid-5825 Ref-LEVY - 8 CORONATION</t>
  </si>
  <si>
    <t>Payment Leaseid-5827 Dorothy R. S Makoni 10 Coronation Ref-LEVY - 10 CORONATION</t>
  </si>
  <si>
    <t>Levy Commission Leaseid-5827 Ref-LEVY - 10 CORONATION</t>
  </si>
  <si>
    <t>Payment Leaseid-5828 Farai Chivaura 11 Coronation Ref-LEVY - 11 CORONATION</t>
  </si>
  <si>
    <t>Levy Commission Leaseid-5828 Ref-LEVY - 11 CORONATION</t>
  </si>
  <si>
    <t>Payment Leaseid-5829 Rose Chanakira 12 Coronation Ref-LEVY - 12 CORONATION</t>
  </si>
  <si>
    <t>Levy Commission Leaseid-5829 Ref-LEVY - 12 CORONATION</t>
  </si>
  <si>
    <t>Payment Leaseid-5830 Siketiwe Marima 13 Coronation Ref-LEVY - 13 CORONATION</t>
  </si>
  <si>
    <t>Levy Commission Leaseid-5830 Ref-LEVY - 13 CORONATION</t>
  </si>
  <si>
    <t>Payment Leaseid-5831 Phillers Gwengo 14 Coronation Ref-LEVY - 14 CORONATION</t>
  </si>
  <si>
    <t>Levy Commission Leaseid-5831 Ref-LEVY - 14 CORONATION</t>
  </si>
  <si>
    <t>Payment Leaseid-5832 Toko Muodzi Ross 15 Coronation Gardens Ref-LEVY - 15 CORONATION</t>
  </si>
  <si>
    <t>Levy Commission Leaseid-5832 Ref-LEVY - 15 CORONATION</t>
  </si>
  <si>
    <t>Payment Leaseid-5833 Emeldah Paradza 16 Coronation Ref-LEVY - 16 CORONATION</t>
  </si>
  <si>
    <t>Levy Commission Leaseid-5833 Ref-LEVY - 16 CORONATION</t>
  </si>
  <si>
    <t>Payment Leaseid-5834 Margaret Mushayi 17 Coronation Ref-LEVY - 17 CORONATION</t>
  </si>
  <si>
    <t>Levy Commission Leaseid-5834 Ref-LEVY - 17 CORONATION</t>
  </si>
  <si>
    <t>Payment Leaseid-5821 Hebros Dubai 4 Coronation Ref-LEVY-4 CORONATION</t>
  </si>
  <si>
    <t>Levy Commission Leaseid-5821 Ref-LEVY-4 CORONATION</t>
  </si>
  <si>
    <t>Journal ref-mispost reversed</t>
  </si>
  <si>
    <t>Journal ref-mispost reversed-4 Coronation commission &amp; vat</t>
  </si>
  <si>
    <t>Payment Ref-STAFF SALARIES</t>
  </si>
  <si>
    <t>Payment Ref-ZESA PURCHASE</t>
  </si>
  <si>
    <t>Payment Ref-RACK ALIGNMENT</t>
  </si>
  <si>
    <t>Payment Ref-ROAD REPAIRS</t>
  </si>
  <si>
    <t>Journal ref-GATE REPAIRS</t>
  </si>
  <si>
    <t>Payment Leaseid-5826 Unit 9 Coronation Gardens Ref-LEVY - 9 CORONATION</t>
  </si>
  <si>
    <t>Levy Commission Leaseid-5826 Ref-LEVY - 9 CORONATION</t>
  </si>
  <si>
    <r>
      <t>Account ID:</t>
    </r>
    <r>
      <rPr>
        <sz val="8"/>
        <color rgb="FF616669"/>
        <rFont val="Verdana"/>
        <family val="2"/>
      </rPr>
      <t>58344</t>
    </r>
  </si>
  <si>
    <t>landlord - Coronation Gardens Onwers Association</t>
  </si>
  <si>
    <t>Period: 2024-06-01 to 2024-06-30</t>
  </si>
  <si>
    <t>Property - Coronation Gardens, Greendale, Harare</t>
  </si>
  <si>
    <t>Agnes Furidze 1 Coronation</t>
  </si>
  <si>
    <t>Eva Mutangadura 2 Coronation</t>
  </si>
  <si>
    <t>Kudzanayi Kachere 3 Coronation</t>
  </si>
  <si>
    <t>Hebros Dubai 4 Coronation</t>
  </si>
  <si>
    <t>Tatenda Ngowe 5 Coronation</t>
  </si>
  <si>
    <t>Maud Silibaziso 6 Coronation</t>
  </si>
  <si>
    <t>Gibson Taruwinga 7 Coronation</t>
  </si>
  <si>
    <t>Lody Machiwenyika 8 Coronation</t>
  </si>
  <si>
    <t>Unit 9 Coronation Gardens</t>
  </si>
  <si>
    <t>Dorothy R. S Makoni 10 Coronation</t>
  </si>
  <si>
    <t>Farai Chivaura 11 Coronation</t>
  </si>
  <si>
    <t>Rose Chanakira 12 Coronation</t>
  </si>
  <si>
    <t>Siketiwe Marima 13 Coronation</t>
  </si>
  <si>
    <t>Phillers Gwengo 14 Coronation</t>
  </si>
  <si>
    <t>Toko Muodzi Ross 15 Coronation Gardens</t>
  </si>
  <si>
    <t>Emeldah Paradza 16 Coronation</t>
  </si>
  <si>
    <t>Margaret Mushayi 17 Coronation</t>
  </si>
  <si>
    <t>Journal ref-STAFF SALARIES</t>
  </si>
  <si>
    <t>Payment Leaseid-5820 Kudzanayi Kachere 3 Coronation Ref-LEVY-KACHERE K-3 CORONATION-TRANSFER-07/08/24</t>
  </si>
  <si>
    <t>Levy Commission Leaseid-5820 Ref-LEVY-KACHERE K-3 CORONATION-TRANSFER-07/08/24</t>
  </si>
  <si>
    <t>Payment Leaseid-5824 Gibson Taruwinga 7 Coronation Ref-LEVY-TARUWINGA G-7 CORONATION-TRANSFER-09/08/24</t>
  </si>
  <si>
    <t>Levy Commission Leaseid-5824 Ref-LEVY-TARUWINGA G-7 CORONATION-TRANSFER-09/08/24</t>
  </si>
  <si>
    <t>Payment Leaseid-5821 Hebros Dubai 4 Coronation Ref-LEVY 4 CORONATION DUBAI CASH 28/8/24</t>
  </si>
  <si>
    <t>Levy Commission Leaseid-5821 Ref-LEVY 4 CORONATION DUBAI CASH 28/8/24</t>
  </si>
  <si>
    <r>
      <t>Account Holder:</t>
    </r>
    <r>
      <rPr>
        <sz val="9"/>
        <color rgb="FF616669"/>
        <rFont val="Verdana"/>
        <family val="2"/>
      </rPr>
      <t> Coronation Gardens Onwers Association</t>
    </r>
  </si>
  <si>
    <r>
      <t>Account ID:</t>
    </r>
    <r>
      <rPr>
        <sz val="9"/>
        <color rgb="FF616669"/>
        <rFont val="Verdana"/>
        <family val="2"/>
      </rPr>
      <t>58345</t>
    </r>
  </si>
  <si>
    <r>
      <t>Account Currency:</t>
    </r>
    <r>
      <rPr>
        <sz val="9"/>
        <color rgb="FF616669"/>
        <rFont val="Verdana"/>
        <family val="2"/>
      </rPr>
      <t>USD</t>
    </r>
  </si>
  <si>
    <r>
      <t>Transaction Period:</t>
    </r>
    <r>
      <rPr>
        <sz val="9"/>
        <color rgb="FF616669"/>
        <rFont val="Verdana"/>
        <family val="2"/>
      </rPr>
      <t>2024-08-01 - 2024-08-31</t>
    </r>
  </si>
  <si>
    <r>
      <t>Account ID:</t>
    </r>
    <r>
      <rPr>
        <sz val="9"/>
        <color rgb="FF616669"/>
        <rFont val="Verdana"/>
        <family val="2"/>
      </rPr>
      <t>58344</t>
    </r>
  </si>
  <si>
    <r>
      <t>Account Currency:</t>
    </r>
    <r>
      <rPr>
        <sz val="9"/>
        <color rgb="FF616669"/>
        <rFont val="Verdana"/>
        <family val="2"/>
      </rPr>
      <t>ZIG</t>
    </r>
  </si>
  <si>
    <t>Period: 2024-08-01 to 2024-08-31</t>
  </si>
  <si>
    <t>Payment Ref-UTILITIES-MURARA BROOM &amp; RAKE</t>
  </si>
  <si>
    <t>Payment Leaseid-5817 Agnes Furidze 1 Coronation Ref-SEPT&amp;OCT LEVY - 1 CORONATION/transfer 23.8.24</t>
  </si>
  <si>
    <t>Levy Commission Leaseid-5817 Ref-SEPT&amp;OCT LEVY - 1 CORONATION/transfer 23.8.24</t>
  </si>
  <si>
    <t>Payment Ref-CONEX MIRROR</t>
  </si>
  <si>
    <t>Payment Leaseid-5821 Hebros Dubai 4 Coronation Ref-LEVY-DUBAI D-4 CORONATION-24/09/24-CASH</t>
  </si>
  <si>
    <t>Levy Commission Leaseid-5821 Ref-LEVY-DUBAI D-4 CORONATION-24/09/24-CASH</t>
  </si>
  <si>
    <r>
      <t>Transaction Period:</t>
    </r>
    <r>
      <rPr>
        <sz val="9"/>
        <color rgb="FF616669"/>
        <rFont val="Verdana"/>
        <family val="2"/>
      </rPr>
      <t>2024-09-01 - 2024-09-30</t>
    </r>
  </si>
  <si>
    <t>Period: 2024-09-01 to 2024-09-30</t>
  </si>
  <si>
    <t>Payment Ref-KWARIRIMA LOVEMORE-SALARY</t>
  </si>
  <si>
    <r>
      <t>Transaction Period:</t>
    </r>
    <r>
      <rPr>
        <sz val="9"/>
        <color rgb="FF616669"/>
        <rFont val="Verdana"/>
        <family val="2"/>
      </rPr>
      <t>2024-10-01 - 2024-10-31</t>
    </r>
  </si>
  <si>
    <t>Period: 2024-10-01 to 2024-10-31</t>
  </si>
  <si>
    <t>Payment Leaseid-5817 Agnes Furidze 1 Coronation Ref-LEVY-FURIDZE A-1 CORONATION-TRANSFER-03/01/25</t>
  </si>
  <si>
    <t>Levy Commission Leaseid-5817 Ref-LEVY-FURIDZE A-1 CORONATION-TRANSFER-03/01/25</t>
  </si>
  <si>
    <t>Payment Ref-GATE REPAIRS</t>
  </si>
  <si>
    <t>Payment Ref-PLUMBING NON BOREHOLE WORKING</t>
  </si>
  <si>
    <t>Payment Ref-PAYROLL LICENSE FEES</t>
  </si>
  <si>
    <t>Payment Ref-PURCHASE OF BROOMS &amp; MOPS</t>
  </si>
  <si>
    <r>
      <t>Account Holder:</t>
    </r>
    <r>
      <rPr>
        <sz val="10"/>
        <color rgb="FF616669"/>
        <rFont val="Verdana"/>
        <family val="2"/>
      </rPr>
      <t> Coronation Gardens Onwers Association</t>
    </r>
  </si>
  <si>
    <r>
      <t>Account ID:</t>
    </r>
    <r>
      <rPr>
        <sz val="10"/>
        <color rgb="FF616669"/>
        <rFont val="Verdana"/>
        <family val="2"/>
      </rPr>
      <t>58345</t>
    </r>
  </si>
  <si>
    <r>
      <t>Account Currency:</t>
    </r>
    <r>
      <rPr>
        <sz val="10"/>
        <color rgb="FF616669"/>
        <rFont val="Verdana"/>
        <family val="2"/>
      </rPr>
      <t>USD</t>
    </r>
  </si>
  <si>
    <r>
      <t>Transaction Period:</t>
    </r>
    <r>
      <rPr>
        <sz val="10"/>
        <color rgb="FF616669"/>
        <rFont val="Verdana"/>
        <family val="2"/>
      </rPr>
      <t>2025-01-01 - 2025-01-31</t>
    </r>
  </si>
  <si>
    <r>
      <t>Transaction Period:</t>
    </r>
    <r>
      <rPr>
        <sz val="9"/>
        <color rgb="FF616669"/>
        <rFont val="Verdana"/>
        <family val="2"/>
      </rPr>
      <t>2025-01-01 - 2025-01-31</t>
    </r>
  </si>
  <si>
    <t>Period: 2025-01-01 to 2025-01-31</t>
  </si>
  <si>
    <t>Payment Leaseid-5827 Dorothy R. S Makoni 10 Coronation Ref-LEVY 10 CORONATION MAKONI CASH</t>
  </si>
  <si>
    <t>Levy Commission Leaseid-5827 Ref-LEVY 10 CORONATION MAKONI CASH</t>
  </si>
  <si>
    <t>Payment Leaseid-5834 Margaret Mushayi 17 Coronation Ref-LEVY 17 CORONATION MUSHAYI CASH</t>
  </si>
  <si>
    <t>Levy Commission Leaseid-5834 Ref-LEVY 17 CORONATION MUSHAYI CASH</t>
  </si>
  <si>
    <t>Payment Leaseid-5833 Emeldah Paradza 16 Coronation Ref-LEVY 16 CORONATION PARADZA CASH</t>
  </si>
  <si>
    <t>Levy Commission Leaseid-5833 Ref-LEVY 16 CORONATION PARADZA CASH</t>
  </si>
  <si>
    <t>Payment Leaseid-5829 Rose Chanakira 12 Coronation Ref-LEVY CHANAKIRA 12 CORONATION CASH</t>
  </si>
  <si>
    <t>Levy Commission Leaseid-5829 Ref-LEVY CHANAKIRA 12 CORONATION CASH</t>
  </si>
  <si>
    <t>Payment Leaseid-5830 Siketiwe Marima 13 Coronation Ref-LEVY 13 CORONATION SIKETIWE CASH</t>
  </si>
  <si>
    <t>Levy Commission Leaseid-5830 Ref-LEVY 13 CORONATION SIKETIWE CASH</t>
  </si>
  <si>
    <t>Payment Leaseid-5831 Phillers Gwengo 14 Coronation Ref-LEVY 14 CORONATION GWENGO CASH</t>
  </si>
  <si>
    <t>Levy Commission Leaseid-5831 Ref-LEVY 14 CORONATION GWENGO CASH</t>
  </si>
  <si>
    <t>Payment Leaseid-5826 Unit 9 Coronation Gardens Ref-LEVY 9 CORONATION CASH</t>
  </si>
  <si>
    <t>Levy Commission Leaseid-5826 Ref-LEVY 9 CORONATION CASH</t>
  </si>
  <si>
    <t>Payment Leaseid-5819 Eva Mutangadura 2 Coronation Ref-LEVY 2 CORONATION EVA CASH</t>
  </si>
  <si>
    <t>Levy Commission Leaseid-5819 Ref-LEVY 2 CORONATION EVA CASH</t>
  </si>
  <si>
    <t>Payment Leaseid-5817 Agnes Furidze 1 Coronation Ref-LEVY-FURIDZE A-1 CORONATION-TRANSFER-04/02/25</t>
  </si>
  <si>
    <t>Levy Commission Leaseid-5817 Ref-LEVY-FURIDZE A-1 CORONATION-TRANSFER-04/02/25</t>
  </si>
  <si>
    <t>Payment Leaseid-5820 Kudzanayi Kachere 3 Coronation Ref-LEVY-KACHERE K-3 CORONATION-TRANSFER-30/01/25</t>
  </si>
  <si>
    <t>Levy Commission Leaseid-5820 Ref-LEVY-KACHERE K-3 CORONATION-TRANSFER-30/01/25</t>
  </si>
  <si>
    <t>Payment Leaseid-5820 Kudzanayi Kachere 3 Coronation Ref-LEVY-KACHERE K-3 CORONATION-TRANSFER-22/02/25</t>
  </si>
  <si>
    <t>Levy Commission Leaseid-5820 Ref-LEVY-KACHERE K-3 CORONATION-TRANSFER-22/02/25</t>
  </si>
  <si>
    <t>Payment Leaseid-5820 Kudzanayi Kachere 3 Coronation Ref-LEVY-KACHERE K-3 CORONATION-TRANSFER-25/02/25</t>
  </si>
  <si>
    <t>Levy Commission Leaseid-5820 Ref-LEVY-KACHERE K-3 CORONATION-TRANSFER-25/02/25</t>
  </si>
  <si>
    <t>Payment Ref-ZESA PURCHASE-DEC-JAN-FEB</t>
  </si>
  <si>
    <t>Payment Ref-WAGES FEB</t>
  </si>
  <si>
    <r>
      <t>Transaction Period:</t>
    </r>
    <r>
      <rPr>
        <sz val="9"/>
        <color rgb="FF616669"/>
        <rFont val="Verdana"/>
        <family val="2"/>
      </rPr>
      <t>2025-02-01 - 2025-02-28</t>
    </r>
  </si>
  <si>
    <t>Period: 2025-02-01 to 2025-02-28</t>
  </si>
  <si>
    <t>Payment Leaseid-5824 Gibson Taruwinga 7 Coronation Ref-INTEREST - 7 CORONATION</t>
  </si>
  <si>
    <t>Levy Commission Leaseid-5824 Ref-INTEREST - 7 CORONATION</t>
  </si>
  <si>
    <t>Payment Ref-PLUMBING WORKS</t>
  </si>
  <si>
    <t>Payment Ref-GATE MOTOR DEPOSIT</t>
  </si>
  <si>
    <t>Payment Leaseid-5824 Gibson Taruwinga 7 Coronation Ref-LEVY-TARUWINGA G-7 CORONATION-TRANSFER-11/02/25</t>
  </si>
  <si>
    <t>Levy Commission Leaseid-5824 Ref-LEVY-TARUWINGA G-7 CORONATION-TRANSFER-11/02/25</t>
  </si>
  <si>
    <t>Payment Leaseid-5817 Agnes Furidze 1 Coronation Ref-LEVY-FURIDZE A-1 CORONATION-TRANSFER-04/03/25</t>
  </si>
  <si>
    <t>Levy Commission Leaseid-5817 Ref-LEVY-FURIDZE A-1 CORONATION-TRANSFER-04/03/25</t>
  </si>
  <si>
    <t>Payment Leaseid-5833 Emeldah Paradza 16 Coronation Ref-LEVY-PARADZA E-16 CORONATION-ECOCASH-04/03/25</t>
  </si>
  <si>
    <t>Levy Commission Leaseid-5833 Ref-LEVY-PARADZA E-16 CORONATION-ECOCASH-04/03/25</t>
  </si>
  <si>
    <t>Payment Ref-WORKSUITS PURCHASE</t>
  </si>
  <si>
    <t>Payment Ref-COMPLEX SIGNAGE</t>
  </si>
  <si>
    <r>
      <t>Transaction Period:</t>
    </r>
    <r>
      <rPr>
        <sz val="9"/>
        <color rgb="FF616669"/>
        <rFont val="Verdana"/>
        <family val="2"/>
      </rPr>
      <t>2025-03-01 - 2025-03-31</t>
    </r>
  </si>
  <si>
    <t>Period: 2025-03-01 to 2025-03-31</t>
  </si>
  <si>
    <t>Payment Leaseid-5833 Emeldah Paradza 16 Coronation Ref-LEVY-PARADZA E-16 CORONATION-ECOCASH-02/04/25</t>
  </si>
  <si>
    <t>Levy Commission Leaseid-5833 Ref-LEVY-PARADZA E-16 CORONATION-ECOCASH-02/04/25</t>
  </si>
  <si>
    <t>Payment Leaseid-5817 Agnes Furidze 1 Coronation Ref-LEVY-FURIDZE A-1 CORONATION-TRANSFER-31/03/25</t>
  </si>
  <si>
    <t>Levy Commission Leaseid-5817 Ref-LEVY-FURIDZE A-1 CORONATION-TRANSFER-31/03/25</t>
  </si>
  <si>
    <t>Payment Leaseid-5820 Kudzanayi Kachere 3 Coronation Ref-LEVY-KACHERE K-3 CORONATION-TRANSFER-04/04/25</t>
  </si>
  <si>
    <t>Levy Commission Leaseid-5820 Ref-LEVY-KACHERE K-3 CORONATION-TRANSFER-04/04/25</t>
  </si>
  <si>
    <t>Payment Ref-GATE MOTOR BALANCE</t>
  </si>
  <si>
    <t>Payment Leaseid-5827 Dorothy R. S Makoni 10 Coronation Ref-LEVY-MAKONI D-10 CORONATION-ECOCASH-09/04/25</t>
  </si>
  <si>
    <t>Levy Commission Leaseid-5827 Ref-LEVY-MAKONI D-10 CORONATION-ECOCASH-09/04/25</t>
  </si>
  <si>
    <t>Payment Leaseid-5817 Agnes Furidze 1 Coronation Ref-LEVY-FURIDZE A-1 CORONATION-TRANSFER-24/04/25</t>
  </si>
  <si>
    <t>Levy Commission Leaseid-5817 Ref-LEVY-FURIDZE A-1 CORONATION-TRANSFER-24/04/25</t>
  </si>
  <si>
    <t>Payment Ref-UPPER MANYAME</t>
  </si>
  <si>
    <t>Journal ref-MURARA BROOM</t>
  </si>
  <si>
    <r>
      <t>Transaction Period:</t>
    </r>
    <r>
      <rPr>
        <sz val="9"/>
        <color rgb="FF616669"/>
        <rFont val="Verdana"/>
        <family val="2"/>
      </rPr>
      <t>2025-04-01 - 2025-04-30</t>
    </r>
  </si>
  <si>
    <t>Period: 2025-04-01 to 2025-04-30</t>
  </si>
  <si>
    <t>Payment Leaseid-5833 Emeldah Paradza 16 Coronation Ref-LEVY-PARADZA E-16 CORONATION-ECOCASH-03/05/25</t>
  </si>
  <si>
    <t>Levy Commission Leaseid-5833 Ref-LEVY-PARADZA E-16 CORONATION-ECOCASH-03/05/25</t>
  </si>
  <si>
    <t>Payment Leaseid-5829 Rose Chanakira 12 Coronation Ref-LEVY-CHANAKIRA R-12 CORONATION-ECOCASH-03/05/25</t>
  </si>
  <si>
    <t>Levy Commission Leaseid-5829 Ref-LEVY-CHANAKIRA R-12 CORONATION-ECOCASH-03/05/25</t>
  </si>
  <si>
    <t>Payment Leaseid-5826 Unit 9 Coronation Gardens Ref-LEVY-9 CORONATION-ECOCASH-07/05/25</t>
  </si>
  <si>
    <t>Levy Commission Leaseid-5826 Ref-LEVY-9 CORONATION-ECOCASH-07/05/25</t>
  </si>
  <si>
    <t>Payment Leaseid-5823 Maud Silibaziso 6 Coronation Ref-LEVY-SILIBAZISO M-6 CORONATION-ECOCASH-06/05/25</t>
  </si>
  <si>
    <t>Levy Commission Leaseid-5823 Ref-LEVY-SILIBAZISO M-6 CORONATION-ECOCASH-06/05/25</t>
  </si>
  <si>
    <t>Payment Leaseid-5822 Tatenda Ngowe 5 Coronation Ref-LEVY-NGOWE T-5 CORONATION-ECOCASH-06/05/25</t>
  </si>
  <si>
    <t>Levy Commission Leaseid-5822 Ref-LEVY-NGOWE T-5 CORONATION-ECOCASH-06/05/25</t>
  </si>
  <si>
    <t>Payment Leaseid-5820 Kudzanayi Kachere 3 Coronation Ref-LEVY-KACHERE K-3 CORONATION-TRANSFER-08/05/25</t>
  </si>
  <si>
    <t>Levy Commission Leaseid-5820 Ref-LEVY-KACHERE K-3 CORONATION-TRANSFER-08/05/25</t>
  </si>
  <si>
    <t>Payment Ref-ELECTRICALS FOR THE GATE</t>
  </si>
  <si>
    <r>
      <t>Transaction Period:</t>
    </r>
    <r>
      <rPr>
        <sz val="9"/>
        <color rgb="FF616669"/>
        <rFont val="Verdana"/>
        <family val="2"/>
      </rPr>
      <t>2025-05-01 - 2025-05-31</t>
    </r>
  </si>
  <si>
    <t>Period: 2025-05-01 to 2025-05-31</t>
  </si>
  <si>
    <t>Payment Leaseid-5820 Kudzanayi Kachere 3 Coronation Ref-LEVY-KACHERE K-3 CORONATION-TRANSFER-27/05/25</t>
  </si>
  <si>
    <t>Levy Commission Leaseid-5820 Ref-LEVY-KACHERE K-3 CORONATION-TRANSFER-27/05/25</t>
  </si>
  <si>
    <t>Payment Leaseid-5817 Agnes Furidze 1 Coronation Ref-LEVY-FURIDZE A-1 CORONATION-TRANSFER-23/05/25</t>
  </si>
  <si>
    <t>Levy Commission Leaseid-5817 Ref-LEVY-FURIDZE A-1 CORONATION-TRANSFER-23/05/25</t>
  </si>
  <si>
    <t>Payment Leaseid-5822 Tatenda Ngowe 5 Coronation Ref-LEVY-NGOWE T-5 CORONATION-TRANSFER-04/06/25</t>
  </si>
  <si>
    <t>Levy Commission Leaseid-5822 Ref-LEVY-NGOWE T-5 CORONATION-TRANSFER-04/06/25</t>
  </si>
  <si>
    <t>Payment Leaseid-5821 Hebros Dubai 4 Coronation Ref-JUN LEVY - 4 CORONATION</t>
  </si>
  <si>
    <t>Levy Commission Leaseid-5821 Ref-JUN LEVY - 4 CORONATION</t>
  </si>
  <si>
    <t>Payment Ref-ELECTRICAL CABLES</t>
  </si>
  <si>
    <t>Payment Leaseid-5825 Lody Machiwenyika 8 Coronation Ref-LEVY/zesa - 8 CORONATION</t>
  </si>
  <si>
    <t>Levy Commission Leaseid-5825 Ref-LEVY/zesa - 8 CORONATION</t>
  </si>
  <si>
    <t>Payment Leaseid-5828 Farai Chivaura 11 Coronation Ref-LEVY/gate repairs - 11 CORONATION</t>
  </si>
  <si>
    <t>Levy Commission Leaseid-5828 Ref-LEVY/gate repairs - 11 CORONATION</t>
  </si>
  <si>
    <t>Payment Leaseid-5817 Agnes Furidze 1 Coronation Ref-LEVY-FURIDZE A-1 CORONATION-TRANSFER-24/06/25</t>
  </si>
  <si>
    <t>Levy Commission Leaseid-5817 Ref-LEVY-FURIDZE A-1 CORONATION-TRANSFER-24/06/25</t>
  </si>
  <si>
    <r>
      <t>Transaction Period:</t>
    </r>
    <r>
      <rPr>
        <sz val="10"/>
        <color rgb="FF616669"/>
        <rFont val="Verdana"/>
        <family val="2"/>
      </rPr>
      <t>2025-06-01 - 2025-06-30</t>
    </r>
  </si>
  <si>
    <t>Period: 2025-06-01 to 2025-06-30</t>
  </si>
  <si>
    <t>Payment Leaseid-5820 Kudzanayi Kachere 3 Coronation Ref-LEVY-KACHERE K-3 CORONATION-TRANSFER-27/06/25</t>
  </si>
  <si>
    <t>Levy Commission Leaseid-5820 Ref-LEVY-KACHERE K-3 CORONATION-TRANSFER-27/06/25</t>
  </si>
  <si>
    <t>Payment Leaseid-5830 Siketiwe Marima 13 Coronation Ref-LEVY - 13 CORONATION VILLAS</t>
  </si>
  <si>
    <t>Levy Commission Leaseid-5830 Ref-LEVY - 13 CORONATION VILLAS</t>
  </si>
  <si>
    <t>Payment Leaseid-5832 Toko Muodzi Ross 15 Coronation Gardens Ref-LEVY - 15 CORONATION VILLAS</t>
  </si>
  <si>
    <t>Levy Commission Leaseid-5832 Ref-LEVY - 15 CORONATION VILLAS</t>
  </si>
  <si>
    <t>Payment Leaseid-5833 Emeldah Paradza 16 Coronation Ref-LEVY - 16 CORONATION GARDENS</t>
  </si>
  <si>
    <t>Levy Commission Leaseid-5833 Ref-LEVY - 16 CORONATION GARDENS</t>
  </si>
  <si>
    <t>Payment Leaseid-5834 Margaret Mushayi 17 Coronation Ref-LEVY - 17 CORONATION GARDENS</t>
  </si>
  <si>
    <t>Levy Commission Leaseid-5834 Ref-LEVY - 17 CORONATION GARDENS</t>
  </si>
  <si>
    <t>Payment Leaseid-5831 Phillers Gwengo 14 Coronation Ref-LEVY - 14 CORONATION GARDENS</t>
  </si>
  <si>
    <t>Levy Commission Leaseid-5831 Ref-LEVY - 14 CORONATION GARDENS</t>
  </si>
  <si>
    <t>Payment Leaseid-5823 Maud Silibaziso 6 Coronation Ref-LEVY - 6 CORONATION GARDENS</t>
  </si>
  <si>
    <t>Levy Commission Leaseid-5823 Ref-LEVY - 6 CORONATION GARDENS</t>
  </si>
  <si>
    <t>Payment Leaseid-5824 Gibson Taruwinga 7 Coronation Ref-LEVY - 7 CORONATION GARDENS</t>
  </si>
  <si>
    <t>Levy Commission Leaseid-5824 Ref-LEVY - 7 CORONATION GARDENS</t>
  </si>
  <si>
    <t>Payment Leaseid-5826 Unit 9 Coronation Gardens Ref-LEVY - 9 CORONATION GARDENS</t>
  </si>
  <si>
    <t>Levy Commission Leaseid-5826 Ref-LEVY - 9 CORONATION GARDENS</t>
  </si>
  <si>
    <t>Payment Leaseid-5819 Eva Mutangadura 2 Coronation Ref-LEVY - 2 CORONATION GARDENS</t>
  </si>
  <si>
    <t>Levy Commission Leaseid-5819 Ref-LEVY - 2 CORONATION GARDENS</t>
  </si>
  <si>
    <t>Payment Leaseid-5820 Kudzanayi Kachere 3 Coronation Ref-LEVY - 3 CORONATION GARDENS</t>
  </si>
  <si>
    <t>Levy Commission Leaseid-5820 Ref-LEVY - 3 CORONATION GARDENS</t>
  </si>
  <si>
    <t>Payment Ref-WORKSUITS &amp; SAFETY SHOES</t>
  </si>
  <si>
    <t>Journal ref-mispost reversed-3 Coronation</t>
  </si>
  <si>
    <t>Journal ref-mispost reversed-commission-3 Coronation</t>
  </si>
  <si>
    <t>Payment Leaseid-5821 Hebros Dubai 4 Coronation Ref-LEVY - 4 CORONATION GARDENS</t>
  </si>
  <si>
    <t>Levy Commission Leaseid-5821 Ref-LEVY - 4 CORONATION GARDENS</t>
  </si>
  <si>
    <t>Payment Leaseid-5827 Dorothy R. S Makoni 10 Coronation Ref-LEVY-MAKONI D-10 CORONATION-ECOCASH-03/07/25</t>
  </si>
  <si>
    <t>Levy Commission Leaseid-5827 Ref-LEVY-MAKONI D-10 CORONATION-ECOCASH-03/07/25</t>
  </si>
  <si>
    <r>
      <t>Transaction Period:</t>
    </r>
    <r>
      <rPr>
        <sz val="9"/>
        <color rgb="FF616669"/>
        <rFont val="Verdana"/>
        <family val="2"/>
      </rPr>
      <t>2025-07-01 - 2025-07-31</t>
    </r>
  </si>
  <si>
    <r>
      <t>Transaction Period:</t>
    </r>
    <r>
      <rPr>
        <sz val="10"/>
        <color rgb="FF616669"/>
        <rFont val="Verdana"/>
        <family val="2"/>
      </rPr>
      <t>2025-07-01 - 2025-07-31</t>
    </r>
  </si>
  <si>
    <t>Period: 2025-07-01 to 2025-07-31</t>
  </si>
  <si>
    <t>Payment Leaseid-5828 Farai Chivaura 11 Coronation Ref-LEVY - 11 CORONATION GARDENS</t>
  </si>
  <si>
    <t>Levy Commission Leaseid-5828 Ref-LEVY - 11 CORONATION GARDENS</t>
  </si>
  <si>
    <t>Payment Leaseid-5829 Rose Chanakira 12 Coronation Ref-LEVY - 12 CORONATION GARDENS</t>
  </si>
  <si>
    <t>Levy Commission Leaseid-5829 Ref-LEVY - 12 CORONATION GARDENS</t>
  </si>
  <si>
    <t>Payment Leaseid-5833 Emeldah Paradza 16 Coronation Ref-LEVY - 16 CORONATION VILLAS</t>
  </si>
  <si>
    <t>Levy Commission Leaseid-5833 Ref-LEVY - 16 CORONATION VILLAS</t>
  </si>
  <si>
    <t>Payment Leaseid-5826 Unit 9 Coronation Gardens Ref-LEVY - 9 CORONATION VILLAS</t>
  </si>
  <si>
    <t>Levy Commission Leaseid-5826 Ref-LEVY - 9 CORONATION VILLAS</t>
  </si>
  <si>
    <t>Payment Leaseid-5819 Eva Mutangadura 2 Coronation Ref-LEVY - 2 CORONATION VILLAS</t>
  </si>
  <si>
    <t>Levy Commission Leaseid-5819 Ref-LEVY - 2 CORONATION VILLAS</t>
  </si>
  <si>
    <t>Payment Leaseid-5817 Agnes Furidze 1 Coronation Ref-LEVY-FURIDZE A-1 CORONATION-TRANSFER-23/07/25</t>
  </si>
  <si>
    <t>Levy Commission Leaseid-5817 Ref-LEVY-FURIDZE A-1 CORONATION-TRANSFER-23/07/25</t>
  </si>
  <si>
    <t>Payment Leaseid-5824 Gibson Taruwinga 7 Coronation Ref-LEVY-TARUWINGA G-7 CORONATION-TRANSFER-06/08/25</t>
  </si>
  <si>
    <t>Levy Commission Leaseid-5824 Ref-LEVY-TARUWINGA G-7 CORONATION-TRANSFER-06/08/25</t>
  </si>
  <si>
    <r>
      <t>Transaction Period:</t>
    </r>
    <r>
      <rPr>
        <sz val="10"/>
        <color rgb="FF616669"/>
        <rFont val="Verdana"/>
        <family val="2"/>
      </rPr>
      <t>2025-08-01 - 2025-08-31</t>
    </r>
  </si>
  <si>
    <t>Period: 2025-08-01 to 2025-08-31</t>
  </si>
  <si>
    <t>Payment Leaseid-5827 Dorothy R. S Makoni 10 Coronation Ref-LEVY - 10 CORONATION GARDENS</t>
  </si>
  <si>
    <t>Levy Commission Leaseid-5827 Ref-LEVY - 10 CORONATION GARDENS</t>
  </si>
  <si>
    <t>Payment Leaseid-5832 Toko Muodzi Ross 15 Coronation Gardens Ref-LEVY - 15 CORONATION GARDENS</t>
  </si>
  <si>
    <t>Levy Commission Leaseid-5832 Ref-LEVY - 15 CORONATION GARDENS</t>
  </si>
  <si>
    <t>Payment Leaseid-5823 Maud Silibaziso 6 Coronation Ref-LEVY - 6 CORONATION VILLAS</t>
  </si>
  <si>
    <t>Levy Commission Leaseid-5823 Ref-LEVY - 6 CORONATION VILLAS</t>
  </si>
  <si>
    <t>Payment Leaseid-5824 Gibson Taruwinga 7 Coronation Ref-LEVY - 7 CORONATION VILLAS</t>
  </si>
  <si>
    <t>Levy Commission Leaseid-5824 Ref-LEVY - 7 CORONATION VILLAS</t>
  </si>
  <si>
    <t>Payment Leaseid-5817 Agnes Furidze 1 Coronation Ref-LEVY 1 CORONATION FURIDZE TRANSFER 25/08/25</t>
  </si>
  <si>
    <t>Levy Commission Leaseid-5817 Ref-LEVY 1 CORONATION FURIDZE TRANSFER 25/08/25</t>
  </si>
  <si>
    <t>Payment Leaseid-5820 Kudzanayi Kachere 3 Coronation Ref-LEVY-KACHERE K-3 CORONATION-ECOCASH-04/09/25</t>
  </si>
  <si>
    <t>Levy Commission Leaseid-5820 Ref-LEVY-KACHERE K-3 CORONATION-ECOCASH-04/09/25</t>
  </si>
  <si>
    <t>Payment Leaseid-5821 Hebros Dubai 4 Coronation Ref-LEVY-DUBAI H-4 CORONATION-TRANSFER-09/09/25</t>
  </si>
  <si>
    <t>Levy Commission Leaseid-5821 Ref-LEVY-DUBAI H-4 CORONATION-TRANSFER-09/09/25</t>
  </si>
  <si>
    <t>Payment Ref- RELIEVE SECURITY GUARD -MR TSABORA</t>
  </si>
  <si>
    <t>Payment Ref-MURARA BROOMS</t>
  </si>
  <si>
    <t>Journal ref-STAFF SALARIES -SPTEMBER 2025</t>
  </si>
  <si>
    <r>
      <t>Transaction Period:</t>
    </r>
    <r>
      <rPr>
        <sz val="10"/>
        <color rgb="FF616669"/>
        <rFont val="Verdana"/>
        <family val="2"/>
      </rPr>
      <t>2025-09-01 - 2025-09-30</t>
    </r>
  </si>
  <si>
    <r>
      <t>Account ID:</t>
    </r>
    <r>
      <rPr>
        <sz val="10"/>
        <color rgb="FF616669"/>
        <rFont val="Verdana"/>
        <family val="2"/>
      </rPr>
      <t>58344</t>
    </r>
  </si>
  <si>
    <r>
      <t>Account Currency:</t>
    </r>
    <r>
      <rPr>
        <sz val="10"/>
        <color rgb="FF616669"/>
        <rFont val="Verdana"/>
        <family val="2"/>
      </rPr>
      <t>ZIG</t>
    </r>
  </si>
  <si>
    <t>Period: 2025-09-01 to 2025-09-30</t>
  </si>
  <si>
    <t>Payment Leaseid-5817 Agnes Furidze 1 Coronation Ref-LEVY-FURIDZE A-1 CORONATION-TRANSFER-23/09/25</t>
  </si>
  <si>
    <t>Levy Commission Leaseid-5817 Ref-LEVY-FURIDZE A-1 CORONATION-TRANSFER-23/09/25</t>
  </si>
  <si>
    <t>Payment Leaseid-5830 Siketiwe Marima 13 Coronation Ref-LEVY - 13 CORONATION GARDENS</t>
  </si>
  <si>
    <t>Levy Commission Leaseid-5830 Ref-LEVY - 13 CORONATION GARDENS</t>
  </si>
  <si>
    <t>Payment Leaseid-5822 Tatenda Ngowe 5 Coronation Ref-LEVY - 5 CORONATION GARDENS</t>
  </si>
  <si>
    <t>Levy Commission Leaseid-5822 Ref-LEVY - 5 CORONATION GARDENS</t>
  </si>
  <si>
    <t>Payment Leaseid-5820 Kudzanayi Kachere 3 Coronation Ref-LEVY-KACHERE K-3 CORONATION-TRANSFER-02/10/25</t>
  </si>
  <si>
    <t>Levy Commission Leaseid-5820 Ref-LEVY-KACHERE K-3 CORONATION-TRANSFER-02/10/25</t>
  </si>
  <si>
    <t>Payment Leaseid-5821 Hebros Dubai 4 Coronation Ref-LEVY-DUBAI D-4 CORONATION-TRANSFER-06/10/25</t>
  </si>
  <si>
    <t>Levy Commission Leaseid-5821 Ref-LEVY-DUBAI D-4 CORONATION-TRANSFER-06/10/25</t>
  </si>
  <si>
    <t>Payment Ref-UPPER MANYAME -BOREHOLE LEVY</t>
  </si>
  <si>
    <t>Payment Leaseid-5828 Farai Chivaura 11 Coronation Ref-LEVY - 11 CORONATION/gate rail repairs</t>
  </si>
  <si>
    <t>Levy Commission Leaseid-5828 Ref-LEVY - 11 CORONATION/gate rail repairs</t>
  </si>
  <si>
    <t>Payment Ref-GATE REPAIRS RAIL</t>
  </si>
  <si>
    <t>Journal ref-RATES -UPPER MANYAME</t>
  </si>
  <si>
    <t>Journal ref-BANK CHARGES -UPPER MANYAME</t>
  </si>
  <si>
    <t>Payment Leaseid-5826 Unit 9 Coronation Gardens Ref-LEVY-9 CORONATION-ECOCASH-03/10/25</t>
  </si>
  <si>
    <t>Levy Commission Leaseid-5826 Ref-LEVY-9 CORONATION-ECOCASH-03/10/25</t>
  </si>
  <si>
    <t>Payment Leaseid-5817 Agnes Furidze 1 Coronation Ref-LEVY-FURIDZE A-1 CORONATION-TRANSFER-23/10/25</t>
  </si>
  <si>
    <t>Levy Commission Leaseid-5817 Ref-LEVY-FURIDZE A-1 CORONATION-TRANSFER-23/10/25</t>
  </si>
  <si>
    <r>
      <t>Transaction Period:</t>
    </r>
    <r>
      <rPr>
        <sz val="10"/>
        <color rgb="FF616669"/>
        <rFont val="Verdana"/>
        <family val="2"/>
      </rPr>
      <t>2025-10-01 - 2025-10-31</t>
    </r>
  </si>
  <si>
    <t>Period: 2025-10-01 to 2025-10-31</t>
  </si>
  <si>
    <t>Period: 2025-11-01 to 2025-11-30</t>
  </si>
  <si>
    <t>Payment Leaseid-5820 Kudzanayi Kachere 3 Coronation Ref-LEVY-KACHERE K-3 CORONATION-ECOCASH-08/11/25</t>
  </si>
  <si>
    <t>Levy Commission Leaseid-5820 Ref-LEVY-KACHERE K-3 CORONATION-ECOCASH-08/11/25</t>
  </si>
  <si>
    <t>Payment Leaseid-5825 Lody Machiwenyika 8 Coronation Ref-LEVY - 8 CORONATION/zesa</t>
  </si>
  <si>
    <t>Levy Commission Leaseid-5825 Ref-LEVY - 8 CORONATION/zesa</t>
  </si>
  <si>
    <t>Payment Ref-ZESA PURCHASE -JULY -OCTOBER 2025</t>
  </si>
  <si>
    <t>Payment Leaseid-5821 Hebros Dubai 4 Coronation Ref-LEVY-DUBAI H-4 CORONATION-TRANSFER-10/11/25</t>
  </si>
  <si>
    <t>Levy Commission Leaseid-5821 Ref-LEVY-DUBAI H-4 CORONATION-TRANSFER-10/11/25</t>
  </si>
  <si>
    <t>Payment Leaseid-5831 Phillers Gwengo 14 Coronation Ref-LEVY - 14 CORONATION VILLAS</t>
  </si>
  <si>
    <t>Levy Commission Leaseid-5831 Ref-LEVY - 14 CORONATION VILLAS</t>
  </si>
  <si>
    <t>Payment Ref-BOREHOLE ASSESMENT</t>
  </si>
  <si>
    <r>
      <t>Transaction Period:</t>
    </r>
    <r>
      <rPr>
        <sz val="10"/>
        <color rgb="FF616669"/>
        <rFont val="Verdana"/>
        <family val="2"/>
      </rPr>
      <t>2025-11-01 - 2025-11-30</t>
    </r>
  </si>
  <si>
    <t>Category : Levy</t>
  </si>
  <si>
    <t>Account Currency:USD</t>
  </si>
  <si>
    <t>Transaction Period:2025-12-01 - 2025-12-31</t>
  </si>
  <si>
    <t>Levy Commission Leaseid-5832 Ref-LEVY-15 SUNSET-ECOCASH-31/12/25</t>
  </si>
  <si>
    <t>Levy Payment -Ecocash USD-Robson Gweta 16 Sunset Leaseid-5833 Ref-LEVY- ECOCASH-27/11/25</t>
  </si>
  <si>
    <t>Levy Commission-Ecocash USD-Robson Gweta 16 Sunset Leaseid-5833 Ref-LEVY- ECOCASH-27/11/25</t>
  </si>
  <si>
    <t>Levy Payment-FBC Bank-Bezel Mawere 4 Sunset- Leaseid-5821  Ref-LEVY-TRANSFER-02/12/25</t>
  </si>
  <si>
    <t>Levy Commission--FBC Bank-Bezel Mawere 4 Sunset- Leaseid-5821  Ref-LEVY-TRANSFER-02/12/25</t>
  </si>
  <si>
    <t>Levy Payment-ZB Bank-Monica Muyengwa -3 Sunset Leaseid-5820 Ref-LEVY-TRANSFER-03/12/25</t>
  </si>
  <si>
    <t>Levy Commission-ZB Bank-Monica Muyengwa -3 Sunset Leaseid-5820 Ref-LEVY-TRANSFER-03/12/25</t>
  </si>
  <si>
    <t>Levy Payment -Ecocash USD- Pretty Jani-10 Sunset-Leaseid-5827 Ref-LEVY-PRETTY JANI-10 SUNSET-ECOCASH-02/12/25</t>
  </si>
  <si>
    <t>Levy Commission-Ecocash USD- Pretty Jani-10 Sunset-Leaseid-5827 Ref-LEVY-PRETTY JANI-10 SUNSET-ECOCASH-02/12/25</t>
  </si>
  <si>
    <t>Levy Payment-Cash USD-Madeline Bera 11 Sunset-Leaseid-5828  Ref-LEVY - 11 Sunset</t>
  </si>
  <si>
    <t>Levy Commission-Cash USD-Madeline Bera 11 Sunset-Leaseid-5828  Ref-LEVY - 11 Sunset</t>
  </si>
  <si>
    <t>PURCHASE OF SOLAR LIGHTS</t>
  </si>
  <si>
    <t>Levy Payment -Stanbic Bank-Trevor Jasi-1 Sunset-Leaseid-5817  Ref-LEVY-1 SUNSET-TRANSFER-05/12/25</t>
  </si>
  <si>
    <t>Levy Commission-Stanbic Bank-Trevor Jasi-1 Sunset-Leaseid-5817  Ref-LEVY-1 SUNSET-TRANSFER-05/12/25</t>
  </si>
  <si>
    <t>Levy Payment-Cash USD- Wendy Madzura 6 Sunset Leaseid-5823 Ref-LEVY - 6 SUNSET VILLAS</t>
  </si>
  <si>
    <t>Levy Commission-Cash USD- Wendy Madzura 6 Sunset Leaseid-5823 Ref-LEVY - 6 SUNSET VILLAS</t>
  </si>
  <si>
    <t>Levy Payment-Ecocash USD-Chevelle Nandi 12 Sunset-Leaseid-5829  Ref-LEVY-CHEVELLE NANDI-12 SUNSET-ECOCASH-17/12/25</t>
  </si>
  <si>
    <t>Levy Commission -Ecocash USD-Chevelle Nandi 12 Sunset-Leaseid-5829  Ref-LEVY-CHEVELLE NANDI-12 SUNSET-ECOCASH-17/12/25</t>
  </si>
  <si>
    <t>Levy Payment -Stanbic Bank-Trevor Jasi-1 Sunset-Leaseid-5817  Ref-LEVY-1 SUNSET-TRANSFER</t>
  </si>
  <si>
    <t>Levy Commission-Stanbic Bank-Trevor Jasi-1 Sunset-Leaseid-5817  Ref-LEVY-1 SUNSET-TRANSFER</t>
  </si>
  <si>
    <t>Levy Payment-Cash USD- Asheigh Mwanza 13 SunsetLeaseid-5830 Ref-LEVY 13 SUNSET MWANZA CASH</t>
  </si>
  <si>
    <t>Levy Commission-Cash USD- Asheigh Mwanza 13 SunsetLeaseid-5830 Ref-LEVY 13 SUNSET MWANZA CASH</t>
  </si>
  <si>
    <t>Levy Payment-Cash USD-Pretty Jani 10 Sunset- Leaseid-5827  Ref-LEVY 10 SUNSET JANI CASH</t>
  </si>
  <si>
    <t>Levy Commission-Cash USD-Pretty Jani 10 Sunset- Leaseid-5827  Ref-LEVY 10 SUNSET JANI CASH</t>
  </si>
  <si>
    <t>Levy Payment -Ecocash USD-Jimmy Marowa 5  Sunset  Leaseid-5822 Ref-LEVY-Jimmy Marowa-5 Sunset-ECOCASH-23/12/25</t>
  </si>
  <si>
    <t>Levy Commission Ecocash USD-Jimmy Marowa 5  Sunset  Leaseid-5822Ref-LEVY-Jimmy Marowa-5 Sunset-ECOCASH-23/12/25</t>
  </si>
  <si>
    <t>Payment-Ecocash USD-Robson Gweta 16 Sunset Leaseid-5833  Ref-LEVY-PARADZA E-16 Sunset-ECOCASH-28/12/25</t>
  </si>
  <si>
    <t>Levy Commission -Ecocash USD-Robson Gweta 16 Sunset Leaseid-5833  Ref-LEVY-PARADZA E-16 Sunset-ECOCASH-28/12/25</t>
  </si>
  <si>
    <t>Levy Payment -Ecocash USD-Madeine Bera 11 SunsetLeaseid-5828  Ref-LEVY-15 Sunset-ECOCASH-29/12/25</t>
  </si>
  <si>
    <t>Levy Commission-Ecocash USD-Madeine Bera 11 SunsetLeaseid-5828  Ref-LEVY-15 Sunset-ECOCASH-29/12/25</t>
  </si>
  <si>
    <t>Levy Payment-Ecocash USD- Jessie Mugoni 15 SUNSET  Leaseid-5832Ref-LEVY-ECOCASH-31/12/25</t>
  </si>
  <si>
    <t>Account ID:53845/06</t>
  </si>
  <si>
    <t>Transaction ID</t>
  </si>
  <si>
    <t>Contra</t>
  </si>
  <si>
    <t>Ref</t>
  </si>
  <si>
    <t>6000/010</t>
  </si>
  <si>
    <t>RCT-21345</t>
  </si>
  <si>
    <t>1000/010</t>
  </si>
  <si>
    <t>CMA-19427</t>
  </si>
  <si>
    <t>RCT-21348</t>
  </si>
  <si>
    <t>CMA-19437</t>
  </si>
  <si>
    <t>RCT-21367</t>
  </si>
  <si>
    <t>CMA-19442</t>
  </si>
  <si>
    <t>RCT-21369</t>
  </si>
  <si>
    <t>CMA-19444</t>
  </si>
  <si>
    <t>RCT-21377</t>
  </si>
  <si>
    <t>CMA-19447</t>
  </si>
  <si>
    <t>2000/002</t>
  </si>
  <si>
    <t>P3143</t>
  </si>
  <si>
    <t>RCT-21379</t>
  </si>
  <si>
    <t>CMA-19467</t>
  </si>
  <si>
    <t>RCT-21381</t>
  </si>
  <si>
    <t>CMA-19475</t>
  </si>
  <si>
    <t>RCT-21383</t>
  </si>
  <si>
    <t>CMA-19480</t>
  </si>
  <si>
    <t>2000/004</t>
  </si>
  <si>
    <t>P3198</t>
  </si>
  <si>
    <t>RCT-21385</t>
  </si>
  <si>
    <t>CMA-19481</t>
  </si>
  <si>
    <t>RCT-21386</t>
  </si>
  <si>
    <t>CMA-19482</t>
  </si>
  <si>
    <t>RCT-21390</t>
  </si>
  <si>
    <t>CMA-19484</t>
  </si>
  <si>
    <t>RCT-21392</t>
  </si>
  <si>
    <t>CMA-19489</t>
  </si>
  <si>
    <t>RCT-21394</t>
  </si>
  <si>
    <t>CMA-19491</t>
  </si>
  <si>
    <t>RCT-21395</t>
  </si>
  <si>
    <t>CMA-19493</t>
  </si>
  <si>
    <t>RCT-21399</t>
  </si>
  <si>
    <t>CMA-19495</t>
  </si>
  <si>
    <t>Mispost reversed-Levy Payment-Cash USD- Wendy Madzura 6 Sunset Leaseid-5823 Ref-LEVY - 6 SUNSET VILLAS</t>
  </si>
  <si>
    <t>Mispost reversed-Levy Commission-Cash USD- Wendy Madzura 6 Sunset Leaseid-5823 Ref-LEVY - 6 SUNSET VILLAS</t>
  </si>
  <si>
    <t>RCT-21382</t>
  </si>
  <si>
    <t>CMA-19476</t>
  </si>
  <si>
    <t>Landlord: Sunset Villas Owners Association-CORRECTED CREDIT-SIDE TOTALS</t>
  </si>
  <si>
    <t>1 How is  the accounting officer going to implement the functionality on account correction?</t>
  </si>
  <si>
    <t>2How to keep our accounts clean after implementing the functionality?</t>
  </si>
  <si>
    <t>With the landlord account now correct in debit side and credit side total totals, two main questions remain unanswered.</t>
  </si>
  <si>
    <t xml:space="preserve">This functionality initiates a similar receipt and receipts the amount as a negative number, keeping the original sides/path that the original path followed. </t>
  </si>
  <si>
    <t>On effecting the necessary changes the accounting officer can use the following ways:</t>
  </si>
  <si>
    <t>This transaction negates all the positive figures and restores the account to its previous state in terms of balances.This answers the first question. We now go the second concern of how to keep accounts clean after such a reversal entry.</t>
  </si>
  <si>
    <t xml:space="preserve">Keeping accounts clean is very important, that is the landlord account and the tenant account since these two accounts are not internal, meaning that they communicate information to these two types of clients. </t>
  </si>
  <si>
    <t xml:space="preserve">When for example, we print a hard copy of  the landlord statement upon request, it doesn't look good to present it to him with the reversals displayed that way. </t>
  </si>
  <si>
    <t xml:space="preserve">There are instances where we have quite a huge number of those reversals monthly, with instances whereby in trying to correct the account, we can further do another error due to miscommunication internally. </t>
  </si>
  <si>
    <t xml:space="preserve">Now imagine giving the landlord a statement showing 8 or more correctional journals. It does paint a good picture in terms of how the client's account is being handled. </t>
  </si>
  <si>
    <t xml:space="preserve">The solution to this problem is to consolidate the original transaction with a reversal transaction to become single transactions. </t>
  </si>
  <si>
    <t xml:space="preserve">Below is how the transactions look like after the consolidation. </t>
  </si>
  <si>
    <t>C</t>
  </si>
  <si>
    <r>
      <t xml:space="preserve">Landlord: Sunset Villas Owners Association-CORRECTED CREDIT-SIDE TOTALS WITH </t>
    </r>
    <r>
      <rPr>
        <b/>
        <sz val="11"/>
        <color rgb="FFFF0000"/>
        <rFont val="Calibri"/>
        <family val="2"/>
        <scheme val="minor"/>
      </rPr>
      <t>CONSOLIDATION</t>
    </r>
    <r>
      <rPr>
        <sz val="11"/>
        <color rgb="FFFF0000"/>
        <rFont val="Calibri"/>
        <family val="2"/>
        <scheme val="minor"/>
      </rPr>
      <t/>
    </r>
  </si>
  <si>
    <t xml:space="preserve">The rows 88;89;90;91 are hidden for the purposes of keeping the account clean. This should apply to the logic of our new software.  Letter C in between cell 87 &amp; 92 denotes a consolidation of transactions. </t>
  </si>
  <si>
    <t xml:space="preserve">This letter helps us to locate parts of the statement that were amended by corrections. </t>
  </si>
  <si>
    <t>Another case whereby the cashier understates the receipt amount by posting $200 instead of $210. A $10 will be added to that transaction through a journal entry.</t>
  </si>
  <si>
    <t>The transactions of $200 and $10 will be consolidated such that it will seem as if it were just a single transaction.</t>
  </si>
  <si>
    <t>The first case is where the whole amount cannot be reversed, for example, a receipt posted as $250 instead of $210. Instead of reversing the whole $250, a reversal of $40 can be effected to bring us to $210.</t>
  </si>
  <si>
    <t>After the reversal of $40, the transactions can be merged and be viewed like a single transaction.</t>
  </si>
  <si>
    <t xml:space="preserve">For every consolidation, the rule is that a letter C should never be absent. </t>
  </si>
  <si>
    <r>
      <rPr>
        <sz val="11"/>
        <color rgb="FFFF0000"/>
        <rFont val="Calibri"/>
        <family val="2"/>
        <scheme val="minor"/>
      </rPr>
      <t>1</t>
    </r>
    <r>
      <rPr>
        <sz val="11"/>
        <color theme="1"/>
        <rFont val="Calibri"/>
        <family val="2"/>
        <scheme val="minor"/>
      </rPr>
      <t xml:space="preserve">.If the error in receipting has been noticed, but no journal has been effected as yet, the system will provide a receipt reversal functionality. </t>
    </r>
  </si>
  <si>
    <t>Option 2</t>
  </si>
  <si>
    <t>Option 1</t>
  </si>
  <si>
    <t xml:space="preserve">In cases where the whole amount has not been reversed, consolidation will simply go as far as overwriting the original narration with a new narration and a change in amount in either reduction or increase of the original amount. </t>
  </si>
  <si>
    <r>
      <rPr>
        <sz val="11"/>
        <color rgb="FFFF0000"/>
        <rFont val="Calibri"/>
        <family val="2"/>
        <scheme val="minor"/>
      </rPr>
      <t>2</t>
    </r>
    <r>
      <rPr>
        <sz val="11"/>
        <color theme="1"/>
        <rFont val="Calibri"/>
        <family val="2"/>
        <scheme val="minor"/>
      </rPr>
      <t>. If the receipt was cancelled manually by the accounts officer, through an opposing side to the original receipt or entry, resulting in compromised debit-side &amp; credit-side totals,  an in-built function</t>
    </r>
  </si>
  <si>
    <t xml:space="preserve">The complete functionality for transaction normalization includes </t>
  </si>
  <si>
    <t>The ability of the normalization feature to flip sides</t>
  </si>
  <si>
    <t>The ability of the normalization feature to negate positive amounts</t>
  </si>
  <si>
    <t xml:space="preserve"> The ability of the normalization feature to consolidate/merge transactions</t>
  </si>
  <si>
    <t xml:space="preserve"> for side flip and negation is called to correct the debit side and credit-side totals, as we have seen in the first statement in this document without consolidation. </t>
  </si>
  <si>
    <t>For manual correction, the accounting officer can start by posting entries in negative, maintaining the sides of the original receipt or entry. This helps him to skip the first step of flipping sides and go straight to consolidation soon after updating the journal.</t>
  </si>
  <si>
    <r>
      <t>These three abilities are the unique and most signification to transaction normalization engine.</t>
    </r>
    <r>
      <rPr>
        <sz val="11"/>
        <color rgb="FF7030A0"/>
        <rFont val="Calibri"/>
        <family val="2"/>
        <scheme val="minor"/>
      </rPr>
      <t xml:space="preserve"> They are the magic triangle of this software</t>
    </r>
    <r>
      <rPr>
        <sz val="11"/>
        <color theme="1"/>
        <rFont val="Calibri"/>
        <family val="2"/>
        <scheme val="minor"/>
      </rPr>
      <t>. This transaction normalization engine with these three is fundamental to producing high quality reports .</t>
    </r>
  </si>
  <si>
    <t xml:space="preserve">The final piece that will work hand in hand with the normalization engine is the ability of the software to allow for overwriting of a transaction narration. </t>
  </si>
  <si>
    <t>When consolidating transactions, the system must give an option to make give the consolidate transaction its own naaration. This is quite helpful if the cashier's narration is wrong and the tenant needs their receipt printed with correct narration.</t>
  </si>
  <si>
    <t>Instead of receipting once again, an overwrite fucntionality comes in handy by automatically posting a zero value transaction that would be consolidated with the original transaction.</t>
  </si>
  <si>
    <t>In this case, the zero value transaction comes in with the correct and desired narration without changing the orginal receipt value, since it is a zero amount.</t>
  </si>
  <si>
    <t xml:space="preserve">The consolidated transactions will be marked by letter C, just like all other consolidated transactions. This makes audits easy, both internal and external audits. </t>
  </si>
  <si>
    <t>Marking consolidated transactions is very important for auditing purposes.</t>
  </si>
  <si>
    <t xml:space="preserve"> Internal and external auditors workflow will be made easy since the system will direct them to transactions that had been corrected, to see if the corrections were done properly, without any fraud done.</t>
  </si>
  <si>
    <t>Transactions can only be consolidated if they are posted on the same date. You can't merge a transaction posted on the 16th with another one posted on the 17th.</t>
  </si>
  <si>
    <t>There must be an option to unmerge transactions that are merged incorrectly.</t>
  </si>
  <si>
    <t>An example is if you have merged transactions for payments that were done twice by the same tenant, to the same bank account and you later realise that they are different transactions that shoud be kept separate.</t>
  </si>
  <si>
    <t>Overwriting can be done with or without changing the original amount of a transaction.</t>
  </si>
  <si>
    <t xml:space="preserve">The normalization engine's three unique capabilites coupled with the ability to overwrite narrations undoubtedly gives the system an unparalleled user experience that  cannot be found in any trust accounting software. </t>
  </si>
  <si>
    <t>I have highlighted that area in green colour only for the purpose of making it easy to locate the area when making reference for understanding the solution.</t>
  </si>
  <si>
    <t xml:space="preserve"> </t>
  </si>
  <si>
    <t>Two or more transactions can be consolidated into a single transaction.</t>
  </si>
  <si>
    <t xml:space="preserve">After the flipping sides and negating the amounts, a consolidation is finally done to keep the accounts clean. </t>
  </si>
  <si>
    <t>Transactions for receipts can be consolidated if they are of the same Lease ID. If leases are different the transactions cannot be merged.</t>
  </si>
  <si>
    <t>Transactions for expenses can be consolidated only if they are of the same expense category.</t>
  </si>
  <si>
    <t>For every set of consolidated transactions, letter C at the far end should be present to enable internal users and auditors to locate areas that have been corrected</t>
  </si>
  <si>
    <t xml:space="preserve"> Clicking on that letter gives you a detailed view of all the transactions that make up the single consolidated transaction.</t>
  </si>
  <si>
    <t>Rules to be observed and applied when programming the normalization engine</t>
  </si>
  <si>
    <t>Just like reconciliations, account normalization must be done on every landlord and tenant accounts, since they are the external users of our information, who can make judgements based on the quality of information we give them.</t>
  </si>
  <si>
    <t xml:space="preserve">Artificial intelligence application incoroprated into the system could become handy in picking accounts that have compromized debit-side and credit-side totals and  due for normalization. </t>
  </si>
  <si>
    <t>Allowing the built-in AI to sift in and pick accounts with these anomalies increases the overall workflow efficiency  and ensures that anomlies are dealt with in time.</t>
  </si>
  <si>
    <t>Consolidation does not delete any information, it simply hides unnecessary information to give an account a clean visual display, making it seem as if all transactions posted from January to December are all free from errors.</t>
  </si>
  <si>
    <t>Statements will be show in a consolidated view unless you decide to view them in an unconsoliated view, showing every transaction and how it was corrected.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</si>
</sst>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29" x14ac:knownFonts="1">
    <font>
      <sz val="11"/>
      <color theme="1"/>
      <name val="Calibri"/>
      <family val="2"/>
      <scheme val="minor"/>
    </font>
    <font>
      <sz val="11"/>
      <color theme="1"/>
      <name val="Calibri"/>
      <family val="2"/>
      <scheme val="minor"/>
    </font>
    <font>
      <b/>
      <sz val="14"/>
      <color rgb="FF9ACA3C"/>
      <name val="Verdana"/>
      <family val="2"/>
    </font>
    <font>
      <b/>
      <sz val="8"/>
      <color rgb="FF616669"/>
      <name val="Verdana"/>
      <family val="2"/>
    </font>
    <font>
      <sz val="8"/>
      <color rgb="FF616669"/>
      <name val="Verdana"/>
      <family val="2"/>
    </font>
    <font>
      <sz val="10"/>
      <color rgb="FF003399"/>
      <name val="Verdana"/>
      <family val="2"/>
    </font>
    <font>
      <sz val="8"/>
      <color rgb="FF666699"/>
      <name val="Verdana"/>
      <family val="2"/>
    </font>
    <font>
      <b/>
      <sz val="9"/>
      <color rgb="FF3D5A65"/>
      <name val="Verdana"/>
      <family val="2"/>
    </font>
    <font>
      <sz val="8"/>
      <color rgb="FFFF0000"/>
      <name val="Verdana"/>
      <family val="2"/>
    </font>
    <font>
      <sz val="11"/>
      <color rgb="FFFF0000"/>
      <name val="Calibri"/>
      <family val="2"/>
      <scheme val="minor"/>
    </font>
    <font>
      <b/>
      <sz val="9"/>
      <color rgb="FF9ACA3C"/>
      <name val="Verdana"/>
      <family val="2"/>
    </font>
    <font>
      <sz val="9"/>
      <color theme="1"/>
      <name val="Calibri"/>
      <family val="2"/>
      <scheme val="minor"/>
    </font>
    <font>
      <b/>
      <sz val="9"/>
      <color rgb="FF616669"/>
      <name val="Verdana"/>
      <family val="2"/>
    </font>
    <font>
      <sz val="9"/>
      <color rgb="FF616669"/>
      <name val="Verdana"/>
      <family val="2"/>
    </font>
    <font>
      <sz val="9"/>
      <color rgb="FF003399"/>
      <name val="Verdana"/>
      <family val="2"/>
    </font>
    <font>
      <sz val="9"/>
      <color rgb="FF666699"/>
      <name val="Verdana"/>
      <family val="2"/>
    </font>
    <font>
      <b/>
      <sz val="10"/>
      <color rgb="FF9ACA3C"/>
      <name val="Verdana"/>
      <family val="2"/>
    </font>
    <font>
      <sz val="10"/>
      <color theme="1"/>
      <name val="Calibri"/>
      <family val="2"/>
      <scheme val="minor"/>
    </font>
    <font>
      <b/>
      <sz val="10"/>
      <color rgb="FF616669"/>
      <name val="Verdana"/>
      <family val="2"/>
    </font>
    <font>
      <sz val="10"/>
      <color rgb="FF616669"/>
      <name val="Verdana"/>
      <family val="2"/>
    </font>
    <font>
      <sz val="10"/>
      <color rgb="FF666699"/>
      <name val="Verdana"/>
      <family val="2"/>
    </font>
    <font>
      <b/>
      <sz val="10"/>
      <color rgb="FF3D5A65"/>
      <name val="Verdana"/>
      <family val="2"/>
    </font>
    <font>
      <sz val="10"/>
      <color rgb="FFFF0000"/>
      <name val="Verdana"/>
      <family val="2"/>
    </font>
    <font>
      <b/>
      <sz val="11"/>
      <color theme="1"/>
      <name val="Calibri"/>
      <family val="2"/>
      <scheme val="minor"/>
    </font>
    <font>
      <sz val="11"/>
      <color rgb="FF00B050"/>
      <name val="Calibri"/>
      <family val="2"/>
      <scheme val="minor"/>
    </font>
    <font>
      <sz val="7"/>
      <color rgb="FF666699"/>
      <name val="Verdana"/>
      <family val="2"/>
    </font>
    <font>
      <sz val="11"/>
      <color theme="9"/>
      <name val="Calibri"/>
      <family val="2"/>
      <scheme val="minor"/>
    </font>
    <font>
      <b/>
      <sz val="11"/>
      <color rgb="FFFF0000"/>
      <name val="Calibri"/>
      <family val="2"/>
      <scheme val="minor"/>
    </font>
    <font>
      <sz val="11"/>
      <color rgb="FF7030A0"/>
      <name val="Calibri"/>
      <family val="2"/>
      <scheme val="minor"/>
    </font>
  </fonts>
  <fills count="7">
    <fill>
      <patternFill patternType="none"/>
    </fill>
    <fill>
      <patternFill patternType="gray125"/>
    </fill>
    <fill>
      <patternFill patternType="solid">
        <fgColor theme="0"/>
        <bgColor indexed="64"/>
      </patternFill>
    </fill>
    <fill>
      <patternFill patternType="solid">
        <fgColor rgb="FFD0DFE5"/>
        <bgColor indexed="64"/>
      </patternFill>
    </fill>
    <fill>
      <patternFill patternType="solid">
        <fgColor rgb="FFE2ECF0"/>
        <bgColor indexed="64"/>
      </patternFill>
    </fill>
    <fill>
      <patternFill patternType="solid">
        <fgColor rgb="FFDCE9EF"/>
        <bgColor indexed="64"/>
      </patternFill>
    </fill>
    <fill>
      <patternFill patternType="solid">
        <fgColor theme="9"/>
        <bgColor indexed="64"/>
      </patternFill>
    </fill>
  </fills>
  <borders count="4">
    <border>
      <left/>
      <right/>
      <top/>
      <bottom/>
      <diagonal/>
    </border>
    <border>
      <left/>
      <right/>
      <top style="medium">
        <color rgb="FFFFFFFF"/>
      </top>
      <bottom/>
      <diagonal/>
    </border>
    <border>
      <left/>
      <right/>
      <top style="medium">
        <color rgb="FF3E3399"/>
      </top>
      <bottom/>
      <diagonal/>
    </border>
    <border>
      <left/>
      <right/>
      <top style="medium">
        <color rgb="FF000000"/>
      </top>
      <bottom/>
      <diagonal/>
    </border>
  </borders>
  <cellStyleXfs count="2">
    <xf numFmtId="0" fontId="0" fillId="0" borderId="0"/>
    <xf numFmtId="164" fontId="1" fillId="0" borderId="0" applyFont="0" applyFill="0" applyBorder="0" applyAlignment="0" applyProtection="0"/>
  </cellStyleXfs>
  <cellXfs count="60">
    <xf numFmtId="0" fontId="0" fillId="0" borderId="0" xfId="0"/>
    <xf numFmtId="0" fontId="2" fillId="0" borderId="0" xfId="0" applyFont="1" applyAlignment="1">
      <alignment vertical="center"/>
    </xf>
    <xf numFmtId="0" fontId="3" fillId="0" borderId="0" xfId="0" applyFont="1"/>
    <xf numFmtId="0" fontId="3" fillId="0" borderId="0" xfId="0" applyFont="1" applyAlignment="1">
      <alignment vertical="center"/>
    </xf>
    <xf numFmtId="0" fontId="4" fillId="0" borderId="0" xfId="0" applyFont="1"/>
    <xf numFmtId="0" fontId="5" fillId="3" borderId="0" xfId="0" applyFont="1" applyFill="1" applyAlignment="1">
      <alignment horizontal="left" vertical="center"/>
    </xf>
    <xf numFmtId="0" fontId="6" fillId="4" borderId="1" xfId="0" applyFont="1" applyFill="1" applyBorder="1" applyAlignment="1">
      <alignment vertical="center"/>
    </xf>
    <xf numFmtId="14" fontId="6" fillId="4" borderId="1" xfId="0" applyNumberFormat="1" applyFont="1" applyFill="1" applyBorder="1" applyAlignment="1">
      <alignment vertical="center"/>
    </xf>
    <xf numFmtId="0" fontId="6" fillId="5" borderId="1" xfId="0" applyFont="1" applyFill="1" applyBorder="1" applyAlignment="1">
      <alignment vertical="center"/>
    </xf>
    <xf numFmtId="14" fontId="6" fillId="5" borderId="1" xfId="0" applyNumberFormat="1" applyFont="1" applyFill="1" applyBorder="1" applyAlignment="1">
      <alignment vertical="center"/>
    </xf>
    <xf numFmtId="0" fontId="6" fillId="4" borderId="2" xfId="0" applyFont="1" applyFill="1" applyBorder="1" applyAlignment="1">
      <alignment vertical="center"/>
    </xf>
    <xf numFmtId="0" fontId="7" fillId="0" borderId="0" xfId="0" applyFont="1" applyAlignment="1">
      <alignment vertical="center"/>
    </xf>
    <xf numFmtId="0" fontId="5" fillId="3" borderId="0" xfId="0" applyFont="1" applyFill="1" applyAlignment="1">
      <alignment horizontal="center" vertical="center"/>
    </xf>
    <xf numFmtId="0" fontId="6" fillId="4" borderId="3" xfId="0" applyFont="1" applyFill="1" applyBorder="1" applyAlignment="1">
      <alignment vertical="center"/>
    </xf>
    <xf numFmtId="0" fontId="8" fillId="4" borderId="1" xfId="0" applyFont="1" applyFill="1" applyBorder="1" applyAlignment="1">
      <alignment vertical="center"/>
    </xf>
    <xf numFmtId="0" fontId="6" fillId="4" borderId="0" xfId="0" applyFont="1" applyFill="1" applyAlignment="1">
      <alignment vertical="center"/>
    </xf>
    <xf numFmtId="0" fontId="9" fillId="0" borderId="0" xfId="0" applyFont="1"/>
    <xf numFmtId="0" fontId="10" fillId="0" borderId="0" xfId="0" applyFont="1" applyAlignment="1">
      <alignment vertical="center"/>
    </xf>
    <xf numFmtId="0" fontId="11" fillId="0" borderId="0" xfId="0" applyFont="1"/>
    <xf numFmtId="0" fontId="12" fillId="0" borderId="0" xfId="0" applyFont="1"/>
    <xf numFmtId="0" fontId="12" fillId="0" borderId="0" xfId="0" applyFont="1" applyAlignment="1">
      <alignment vertical="center"/>
    </xf>
    <xf numFmtId="0" fontId="13" fillId="0" borderId="0" xfId="0" applyFont="1"/>
    <xf numFmtId="0" fontId="14" fillId="3" borderId="0" xfId="0" applyFont="1" applyFill="1" applyAlignment="1">
      <alignment horizontal="left" vertical="center"/>
    </xf>
    <xf numFmtId="0" fontId="15" fillId="4" borderId="1" xfId="0" applyFont="1" applyFill="1" applyBorder="1" applyAlignment="1">
      <alignment vertical="center"/>
    </xf>
    <xf numFmtId="14" fontId="15" fillId="4" borderId="1" xfId="0" applyNumberFormat="1" applyFont="1" applyFill="1" applyBorder="1" applyAlignment="1">
      <alignment vertical="center"/>
    </xf>
    <xf numFmtId="0" fontId="15" fillId="5" borderId="1" xfId="0" applyFont="1" applyFill="1" applyBorder="1" applyAlignment="1">
      <alignment vertical="center"/>
    </xf>
    <xf numFmtId="14" fontId="15" fillId="5" borderId="1" xfId="0" applyNumberFormat="1" applyFont="1" applyFill="1" applyBorder="1" applyAlignment="1">
      <alignment vertical="center"/>
    </xf>
    <xf numFmtId="0" fontId="15" fillId="4" borderId="2" xfId="0" applyFont="1" applyFill="1" applyBorder="1" applyAlignment="1">
      <alignment vertical="center"/>
    </xf>
    <xf numFmtId="0" fontId="14" fillId="3" borderId="0" xfId="0" applyFont="1" applyFill="1" applyAlignment="1">
      <alignment horizontal="center" vertical="center"/>
    </xf>
    <xf numFmtId="0" fontId="15" fillId="4" borderId="3" xfId="0" applyFont="1" applyFill="1" applyBorder="1" applyAlignment="1">
      <alignment vertical="center"/>
    </xf>
    <xf numFmtId="0" fontId="16" fillId="0" borderId="0" xfId="0" applyFont="1" applyAlignment="1">
      <alignment vertical="center"/>
    </xf>
    <xf numFmtId="0" fontId="17" fillId="0" borderId="0" xfId="0" applyFont="1"/>
    <xf numFmtId="0" fontId="18" fillId="0" borderId="0" xfId="0" applyFont="1"/>
    <xf numFmtId="0" fontId="18" fillId="0" borderId="0" xfId="0" applyFont="1" applyAlignment="1">
      <alignment vertical="center"/>
    </xf>
    <xf numFmtId="0" fontId="19" fillId="0" borderId="0" xfId="0" applyFont="1"/>
    <xf numFmtId="0" fontId="20" fillId="4" borderId="1" xfId="0" applyFont="1" applyFill="1" applyBorder="1" applyAlignment="1">
      <alignment vertical="center"/>
    </xf>
    <xf numFmtId="14" fontId="20" fillId="4" borderId="1" xfId="0" applyNumberFormat="1" applyFont="1" applyFill="1" applyBorder="1" applyAlignment="1">
      <alignment vertical="center"/>
    </xf>
    <xf numFmtId="0" fontId="20" fillId="4" borderId="2" xfId="0" applyFont="1" applyFill="1" applyBorder="1" applyAlignment="1">
      <alignment vertical="center"/>
    </xf>
    <xf numFmtId="0" fontId="20" fillId="5" borderId="1" xfId="0" applyFont="1" applyFill="1" applyBorder="1" applyAlignment="1">
      <alignment vertical="center"/>
    </xf>
    <xf numFmtId="14" fontId="20" fillId="5" borderId="1" xfId="0" applyNumberFormat="1" applyFont="1" applyFill="1" applyBorder="1" applyAlignment="1">
      <alignment vertical="center"/>
    </xf>
    <xf numFmtId="0" fontId="21" fillId="0" borderId="0" xfId="0" applyFont="1" applyAlignment="1">
      <alignment vertical="center"/>
    </xf>
    <xf numFmtId="0" fontId="20" fillId="4" borderId="3" xfId="0" applyFont="1" applyFill="1" applyBorder="1" applyAlignment="1">
      <alignment vertical="center"/>
    </xf>
    <xf numFmtId="0" fontId="22" fillId="4" borderId="1" xfId="0" applyFont="1" applyFill="1" applyBorder="1" applyAlignment="1">
      <alignment vertical="center"/>
    </xf>
    <xf numFmtId="0" fontId="23" fillId="0" borderId="0" xfId="0" applyFont="1"/>
    <xf numFmtId="3" fontId="0" fillId="0" borderId="0" xfId="0" applyNumberFormat="1"/>
    <xf numFmtId="14" fontId="0" fillId="0" borderId="0" xfId="0" applyNumberFormat="1"/>
    <xf numFmtId="0" fontId="24" fillId="0" borderId="0" xfId="0" applyFont="1"/>
    <xf numFmtId="14" fontId="24" fillId="0" borderId="0" xfId="0" applyNumberFormat="1" applyFont="1"/>
    <xf numFmtId="3" fontId="24" fillId="0" borderId="0" xfId="0" applyNumberFormat="1" applyFont="1"/>
    <xf numFmtId="3" fontId="23" fillId="0" borderId="0" xfId="0" applyNumberFormat="1" applyFont="1"/>
    <xf numFmtId="0" fontId="25" fillId="4" borderId="1" xfId="0" applyFont="1" applyFill="1" applyBorder="1" applyAlignment="1">
      <alignment vertical="center" wrapText="1"/>
    </xf>
    <xf numFmtId="14" fontId="26" fillId="0" borderId="0" xfId="0" applyNumberFormat="1" applyFont="1"/>
    <xf numFmtId="14" fontId="26" fillId="2" borderId="0" xfId="0" applyNumberFormat="1" applyFont="1" applyFill="1"/>
    <xf numFmtId="0" fontId="0" fillId="6" borderId="0" xfId="0" applyFill="1"/>
    <xf numFmtId="14" fontId="0" fillId="6" borderId="0" xfId="0" applyNumberFormat="1" applyFill="1"/>
    <xf numFmtId="3" fontId="0" fillId="6" borderId="0" xfId="0" applyNumberFormat="1" applyFill="1"/>
    <xf numFmtId="0" fontId="9" fillId="6" borderId="0" xfId="0" applyFont="1" applyFill="1"/>
    <xf numFmtId="0" fontId="27" fillId="0" borderId="0" xfId="0" applyFont="1"/>
    <xf numFmtId="0" fontId="23" fillId="6" borderId="0" xfId="0" applyFont="1" applyFill="1" applyAlignment="1">
      <alignment horizontal="center" vertical="center"/>
    </xf>
    <xf numFmtId="0" fontId="28" fillId="0" borderId="0" xfId="0" applyFont="1"/>
  </cellXfs>
  <cellStyles count="2">
    <cellStyle name="Comma 2"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activeX1.xml><?xml version="1.0" encoding="utf-8"?>
<ax:ocx xmlns:ax="http://schemas.microsoft.com/office/2006/activeX" xmlns:r="http://schemas.openxmlformats.org/officeDocument/2006/relationships" ax:classid="{5512D110-5CC6-11CF-8D67-00AA00BDCE1D}" ax:persistence="persistStreamInit" r:id="rId1"/>
</file>

<file path=xl/activeX/activeX2.xml><?xml version="1.0" encoding="utf-8"?>
<ax:ocx xmlns:ax="http://schemas.microsoft.com/office/2006/activeX" xmlns:r="http://schemas.openxmlformats.org/officeDocument/2006/relationships" ax:classid="{5512D110-5CC6-11CF-8D67-00AA00BDCE1D}" ax:persistence="persistStreamInit" r:id="rId1"/>
</file>

<file path=xl/activeX/activeX3.xml><?xml version="1.0" encoding="utf-8"?>
<ax:ocx xmlns:ax="http://schemas.microsoft.com/office/2006/activeX" xmlns:r="http://schemas.openxmlformats.org/officeDocument/2006/relationships" ax:classid="{5512D110-5CC6-11CF-8D67-00AA00BDCE1D}"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16</xdr:col>
          <xdr:colOff>0</xdr:colOff>
          <xdr:row>27</xdr:row>
          <xdr:rowOff>0</xdr:rowOff>
        </xdr:from>
        <xdr:to>
          <xdr:col>16</xdr:col>
          <xdr:colOff>358140</xdr:colOff>
          <xdr:row>28</xdr:row>
          <xdr:rowOff>114300</xdr:rowOff>
        </xdr:to>
        <xdr:sp macro="" textlink="">
          <xdr:nvSpPr>
            <xdr:cNvPr id="6145" name="Control 1" hidden="1">
              <a:extLst>
                <a:ext uri="{63B3BB69-23CF-44E3-9099-C40C66FF867C}">
                  <a14:compatExt spid="_x0000_s6145"/>
                </a:ext>
                <a:ext uri="{FF2B5EF4-FFF2-40B4-BE49-F238E27FC236}">
                  <a16:creationId xmlns:a16="http://schemas.microsoft.com/office/drawing/2014/main" id="{00000000-0008-0000-0700-000001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17</xdr:col>
          <xdr:colOff>0</xdr:colOff>
          <xdr:row>27</xdr:row>
          <xdr:rowOff>0</xdr:rowOff>
        </xdr:from>
        <xdr:to>
          <xdr:col>17</xdr:col>
          <xdr:colOff>358140</xdr:colOff>
          <xdr:row>28</xdr:row>
          <xdr:rowOff>114300</xdr:rowOff>
        </xdr:to>
        <xdr:sp macro="" textlink="">
          <xdr:nvSpPr>
            <xdr:cNvPr id="4097" name="Control 1" hidden="1">
              <a:extLst>
                <a:ext uri="{63B3BB69-23CF-44E3-9099-C40C66FF867C}">
                  <a14:compatExt spid="_x0000_s4097"/>
                </a:ext>
                <a:ext uri="{FF2B5EF4-FFF2-40B4-BE49-F238E27FC236}">
                  <a16:creationId xmlns:a16="http://schemas.microsoft.com/office/drawing/2014/main" id="{00000000-0008-0000-0B00-000001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0</xdr:colOff>
          <xdr:row>27</xdr:row>
          <xdr:rowOff>0</xdr:rowOff>
        </xdr:from>
        <xdr:to>
          <xdr:col>9</xdr:col>
          <xdr:colOff>358140</xdr:colOff>
          <xdr:row>28</xdr:row>
          <xdr:rowOff>114300</xdr:rowOff>
        </xdr:to>
        <xdr:sp macro="" textlink="">
          <xdr:nvSpPr>
            <xdr:cNvPr id="3073" name="Control 1" hidden="1">
              <a:extLst>
                <a:ext uri="{63B3BB69-23CF-44E3-9099-C40C66FF867C}">
                  <a14:compatExt spid="_x0000_s3073"/>
                </a:ext>
                <a:ext uri="{FF2B5EF4-FFF2-40B4-BE49-F238E27FC236}">
                  <a16:creationId xmlns:a16="http://schemas.microsoft.com/office/drawing/2014/main" id="{00000000-0008-0000-0E00-000001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12.xml.rels><?xml version="1.0" encoding="UTF-8" standalone="yes"?>
<Relationships xmlns="http://schemas.openxmlformats.org/package/2006/relationships"><Relationship Id="rId3" Type="http://schemas.openxmlformats.org/officeDocument/2006/relationships/control" Target="../activeX/activeX2.xml"/><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image" Target="../media/image2.emf"/></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control" Target="../activeX/activeX3.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25DC0-7316-4BAF-B4B3-78AB2B72A1A1}">
  <sheetPr>
    <tabColor theme="9"/>
  </sheetPr>
  <dimension ref="A1:I166"/>
  <sheetViews>
    <sheetView tabSelected="1" workbookViewId="0">
      <selection activeCell="E176" sqref="E176"/>
    </sheetView>
  </sheetViews>
  <sheetFormatPr defaultRowHeight="14.4" x14ac:dyDescent="0.3"/>
  <cols>
    <col min="1" max="1" width="12.5546875" customWidth="1"/>
    <col min="2" max="2" width="15.77734375" customWidth="1"/>
    <col min="3" max="3" width="14" customWidth="1"/>
    <col min="4" max="4" width="14.21875" customWidth="1"/>
    <col min="5" max="5" width="109.109375" customWidth="1"/>
    <col min="6" max="6" width="11.77734375" customWidth="1"/>
  </cols>
  <sheetData>
    <row r="1" spans="1:8" x14ac:dyDescent="0.3">
      <c r="A1" t="s">
        <v>397</v>
      </c>
    </row>
    <row r="3" spans="1:8" x14ac:dyDescent="0.3">
      <c r="A3" s="16" t="s">
        <v>395</v>
      </c>
      <c r="B3" s="16"/>
      <c r="C3" s="16"/>
      <c r="D3" s="16"/>
      <c r="E3" s="16"/>
    </row>
    <row r="4" spans="1:8" x14ac:dyDescent="0.3">
      <c r="A4" s="16" t="s">
        <v>396</v>
      </c>
      <c r="B4" s="16"/>
      <c r="C4" s="16"/>
      <c r="D4" s="16"/>
      <c r="E4" s="16"/>
    </row>
    <row r="6" spans="1:8" x14ac:dyDescent="0.3">
      <c r="A6" s="16" t="s">
        <v>394</v>
      </c>
    </row>
    <row r="8" spans="1:8" ht="15" thickBot="1" x14ac:dyDescent="0.35">
      <c r="A8" s="16" t="s">
        <v>350</v>
      </c>
      <c r="B8" s="16"/>
      <c r="C8" s="16"/>
    </row>
    <row r="9" spans="1:8" x14ac:dyDescent="0.3">
      <c r="A9" s="16" t="s">
        <v>316</v>
      </c>
      <c r="B9" s="16"/>
      <c r="C9" s="16"/>
      <c r="E9" s="50"/>
    </row>
    <row r="10" spans="1:8" x14ac:dyDescent="0.3">
      <c r="A10" s="16" t="s">
        <v>317</v>
      </c>
      <c r="B10" s="16"/>
      <c r="C10" s="16"/>
    </row>
    <row r="11" spans="1:8" x14ac:dyDescent="0.3">
      <c r="A11" s="16" t="s">
        <v>318</v>
      </c>
      <c r="B11" s="16"/>
      <c r="C11" s="16"/>
    </row>
    <row r="13" spans="1:8" x14ac:dyDescent="0.3">
      <c r="A13" s="43" t="s">
        <v>351</v>
      </c>
      <c r="B13" s="43" t="s">
        <v>7</v>
      </c>
      <c r="C13" s="43" t="s">
        <v>352</v>
      </c>
      <c r="D13" s="43" t="s">
        <v>353</v>
      </c>
      <c r="E13" s="43" t="s">
        <v>8</v>
      </c>
      <c r="F13" s="43" t="s">
        <v>9</v>
      </c>
      <c r="G13" s="43" t="s">
        <v>10</v>
      </c>
      <c r="H13" s="43" t="s">
        <v>11</v>
      </c>
    </row>
    <row r="14" spans="1:8" x14ac:dyDescent="0.3">
      <c r="E14" s="43" t="s">
        <v>12</v>
      </c>
      <c r="F14" s="44"/>
      <c r="G14" s="44"/>
      <c r="H14" s="44">
        <v>-337</v>
      </c>
    </row>
    <row r="15" spans="1:8" x14ac:dyDescent="0.3">
      <c r="A15">
        <v>1452335</v>
      </c>
      <c r="B15" s="45">
        <v>45993</v>
      </c>
      <c r="C15" s="45" t="s">
        <v>354</v>
      </c>
      <c r="D15" s="45" t="s">
        <v>355</v>
      </c>
      <c r="E15" t="s">
        <v>320</v>
      </c>
      <c r="F15" s="44"/>
      <c r="G15" s="44">
        <v>50</v>
      </c>
      <c r="H15" s="44">
        <f>H14-F15+G15</f>
        <v>-287</v>
      </c>
    </row>
    <row r="16" spans="1:8" x14ac:dyDescent="0.3">
      <c r="A16">
        <v>1452338</v>
      </c>
      <c r="B16" s="45">
        <v>45993</v>
      </c>
      <c r="C16" s="45" t="s">
        <v>356</v>
      </c>
      <c r="D16" s="45" t="s">
        <v>357</v>
      </c>
      <c r="E16" t="s">
        <v>321</v>
      </c>
      <c r="F16" s="44">
        <v>7.51</v>
      </c>
      <c r="G16" s="44"/>
      <c r="H16" s="44">
        <f t="shared" ref="H16:H50" si="0">H15-F16+G16</f>
        <v>-294.51</v>
      </c>
    </row>
    <row r="17" spans="1:8" x14ac:dyDescent="0.3">
      <c r="A17">
        <v>1453235</v>
      </c>
      <c r="B17" s="45">
        <v>45995</v>
      </c>
      <c r="C17" s="45" t="s">
        <v>354</v>
      </c>
      <c r="D17" s="45" t="s">
        <v>358</v>
      </c>
      <c r="E17" t="s">
        <v>322</v>
      </c>
      <c r="F17" s="44"/>
      <c r="G17" s="44">
        <v>50</v>
      </c>
      <c r="H17" s="44">
        <f t="shared" si="0"/>
        <v>-244.51</v>
      </c>
    </row>
    <row r="18" spans="1:8" x14ac:dyDescent="0.3">
      <c r="A18">
        <v>1453238</v>
      </c>
      <c r="B18" s="45">
        <v>45995</v>
      </c>
      <c r="C18" s="45" t="s">
        <v>356</v>
      </c>
      <c r="D18" s="45" t="s">
        <v>359</v>
      </c>
      <c r="E18" t="s">
        <v>323</v>
      </c>
      <c r="F18" s="44">
        <v>7.51</v>
      </c>
      <c r="G18" s="44"/>
      <c r="H18" s="44">
        <f t="shared" si="0"/>
        <v>-252.01999999999998</v>
      </c>
    </row>
    <row r="19" spans="1:8" x14ac:dyDescent="0.3">
      <c r="A19">
        <v>1453242</v>
      </c>
      <c r="B19" s="45">
        <v>45995</v>
      </c>
      <c r="C19" s="45" t="s">
        <v>354</v>
      </c>
      <c r="D19" s="45" t="s">
        <v>360</v>
      </c>
      <c r="E19" t="s">
        <v>324</v>
      </c>
      <c r="F19" s="44"/>
      <c r="G19" s="44">
        <v>50</v>
      </c>
      <c r="H19" s="44">
        <f t="shared" si="0"/>
        <v>-202.01999999999998</v>
      </c>
    </row>
    <row r="20" spans="1:8" x14ac:dyDescent="0.3">
      <c r="A20">
        <v>1453245</v>
      </c>
      <c r="B20" s="45">
        <v>45995</v>
      </c>
      <c r="C20" s="45" t="s">
        <v>356</v>
      </c>
      <c r="D20" s="45" t="s">
        <v>361</v>
      </c>
      <c r="E20" t="s">
        <v>325</v>
      </c>
      <c r="F20" s="44">
        <v>7.51</v>
      </c>
      <c r="G20" s="44"/>
      <c r="H20" s="44">
        <f t="shared" si="0"/>
        <v>-209.52999999999997</v>
      </c>
    </row>
    <row r="21" spans="1:8" x14ac:dyDescent="0.3">
      <c r="A21">
        <v>1453580</v>
      </c>
      <c r="B21" s="45">
        <v>45995</v>
      </c>
      <c r="C21" s="45" t="s">
        <v>354</v>
      </c>
      <c r="D21" s="45" t="s">
        <v>362</v>
      </c>
      <c r="E21" t="s">
        <v>326</v>
      </c>
      <c r="F21" s="44"/>
      <c r="G21" s="44">
        <v>50</v>
      </c>
      <c r="H21" s="44">
        <f t="shared" si="0"/>
        <v>-159.52999999999997</v>
      </c>
    </row>
    <row r="22" spans="1:8" x14ac:dyDescent="0.3">
      <c r="A22">
        <v>1453583</v>
      </c>
      <c r="B22" s="45">
        <v>45995</v>
      </c>
      <c r="C22" s="45" t="s">
        <v>356</v>
      </c>
      <c r="D22" s="45" t="s">
        <v>363</v>
      </c>
      <c r="E22" t="s">
        <v>327</v>
      </c>
      <c r="F22" s="44">
        <v>7.51</v>
      </c>
      <c r="G22" s="44"/>
      <c r="H22" s="44">
        <f t="shared" si="0"/>
        <v>-167.03999999999996</v>
      </c>
    </row>
    <row r="23" spans="1:8" x14ac:dyDescent="0.3">
      <c r="A23">
        <v>1453658</v>
      </c>
      <c r="B23" s="45">
        <v>45995</v>
      </c>
      <c r="C23" s="45" t="s">
        <v>354</v>
      </c>
      <c r="D23" s="45" t="s">
        <v>364</v>
      </c>
      <c r="E23" t="s">
        <v>328</v>
      </c>
      <c r="F23" s="44"/>
      <c r="G23" s="44">
        <v>95.52</v>
      </c>
      <c r="H23" s="44">
        <f t="shared" si="0"/>
        <v>-71.519999999999968</v>
      </c>
    </row>
    <row r="24" spans="1:8" x14ac:dyDescent="0.3">
      <c r="A24">
        <v>1453661</v>
      </c>
      <c r="B24" s="45">
        <v>45995</v>
      </c>
      <c r="C24" s="45" t="s">
        <v>356</v>
      </c>
      <c r="D24" s="45" t="s">
        <v>365</v>
      </c>
      <c r="E24" t="s">
        <v>329</v>
      </c>
      <c r="F24" s="44">
        <v>14.34</v>
      </c>
      <c r="G24" s="44"/>
      <c r="H24" s="44">
        <f t="shared" si="0"/>
        <v>-85.859999999999971</v>
      </c>
    </row>
    <row r="25" spans="1:8" x14ac:dyDescent="0.3">
      <c r="A25" s="46">
        <v>1456340</v>
      </c>
      <c r="B25" s="47">
        <v>45995</v>
      </c>
      <c r="C25" s="51" t="s">
        <v>366</v>
      </c>
      <c r="D25" s="47" t="s">
        <v>367</v>
      </c>
      <c r="E25" s="46" t="s">
        <v>330</v>
      </c>
      <c r="F25" s="48">
        <v>95.52</v>
      </c>
      <c r="G25" s="48"/>
      <c r="H25" s="44">
        <f t="shared" si="0"/>
        <v>-181.37999999999997</v>
      </c>
    </row>
    <row r="26" spans="1:8" x14ac:dyDescent="0.3">
      <c r="A26">
        <v>1455657</v>
      </c>
      <c r="B26" s="45">
        <v>46000</v>
      </c>
      <c r="C26" s="45" t="s">
        <v>354</v>
      </c>
      <c r="D26" s="45" t="s">
        <v>368</v>
      </c>
      <c r="E26" t="s">
        <v>331</v>
      </c>
      <c r="F26" s="44"/>
      <c r="G26" s="44">
        <v>50</v>
      </c>
      <c r="H26" s="44">
        <f t="shared" si="0"/>
        <v>-131.37999999999997</v>
      </c>
    </row>
    <row r="27" spans="1:8" x14ac:dyDescent="0.3">
      <c r="A27">
        <v>1455660</v>
      </c>
      <c r="B27" s="45">
        <v>46000</v>
      </c>
      <c r="C27" s="45" t="s">
        <v>356</v>
      </c>
      <c r="D27" s="45" t="s">
        <v>369</v>
      </c>
      <c r="E27" t="s">
        <v>332</v>
      </c>
      <c r="F27" s="44">
        <v>7.51</v>
      </c>
      <c r="G27" s="44"/>
      <c r="H27" s="44">
        <f t="shared" si="0"/>
        <v>-138.88999999999996</v>
      </c>
    </row>
    <row r="28" spans="1:8" x14ac:dyDescent="0.3">
      <c r="A28">
        <v>1457914</v>
      </c>
      <c r="B28" s="45">
        <v>46007</v>
      </c>
      <c r="C28" s="45" t="s">
        <v>354</v>
      </c>
      <c r="D28" s="45" t="s">
        <v>370</v>
      </c>
      <c r="E28" t="s">
        <v>333</v>
      </c>
      <c r="F28" s="44"/>
      <c r="G28" s="44">
        <v>210</v>
      </c>
      <c r="H28" s="44">
        <f t="shared" si="0"/>
        <v>71.110000000000042</v>
      </c>
    </row>
    <row r="29" spans="1:8" x14ac:dyDescent="0.3">
      <c r="A29">
        <v>1457917</v>
      </c>
      <c r="B29" s="45">
        <v>46007</v>
      </c>
      <c r="C29" s="45" t="s">
        <v>356</v>
      </c>
      <c r="D29" s="45" t="s">
        <v>371</v>
      </c>
      <c r="E29" t="s">
        <v>334</v>
      </c>
      <c r="F29" s="44">
        <v>31.52</v>
      </c>
      <c r="G29" s="44"/>
      <c r="H29" s="44">
        <f t="shared" si="0"/>
        <v>39.590000000000046</v>
      </c>
    </row>
    <row r="30" spans="1:8" x14ac:dyDescent="0.3">
      <c r="A30">
        <v>1457918</v>
      </c>
      <c r="B30" s="45">
        <v>46007</v>
      </c>
      <c r="C30" s="45" t="s">
        <v>354</v>
      </c>
      <c r="D30" s="45" t="s">
        <v>392</v>
      </c>
      <c r="E30" t="s">
        <v>333</v>
      </c>
      <c r="F30" s="44"/>
      <c r="G30" s="44">
        <v>210</v>
      </c>
      <c r="H30" s="44">
        <f t="shared" si="0"/>
        <v>249.59000000000003</v>
      </c>
    </row>
    <row r="31" spans="1:8" x14ac:dyDescent="0.3">
      <c r="A31">
        <v>1457919</v>
      </c>
      <c r="B31" s="45">
        <v>46007</v>
      </c>
      <c r="C31" s="45" t="s">
        <v>356</v>
      </c>
      <c r="D31" s="45" t="s">
        <v>393</v>
      </c>
      <c r="E31" t="s">
        <v>334</v>
      </c>
      <c r="F31" s="44">
        <v>32</v>
      </c>
      <c r="G31" s="44"/>
      <c r="H31" s="44">
        <f t="shared" si="0"/>
        <v>217.59000000000003</v>
      </c>
    </row>
    <row r="32" spans="1:8" x14ac:dyDescent="0.3">
      <c r="A32">
        <v>1457925</v>
      </c>
      <c r="B32" s="45">
        <v>46007</v>
      </c>
      <c r="C32" s="45"/>
      <c r="D32" s="45" t="s">
        <v>392</v>
      </c>
      <c r="E32" s="16" t="s">
        <v>390</v>
      </c>
      <c r="F32" s="44"/>
      <c r="G32" s="44">
        <v>-210</v>
      </c>
      <c r="H32" s="44">
        <f t="shared" si="0"/>
        <v>7.5900000000000318</v>
      </c>
    </row>
    <row r="33" spans="1:8" x14ac:dyDescent="0.3">
      <c r="A33">
        <v>1457926</v>
      </c>
      <c r="B33" s="45">
        <v>46007</v>
      </c>
      <c r="C33" s="45"/>
      <c r="D33" s="45" t="s">
        <v>393</v>
      </c>
      <c r="E33" s="16" t="s">
        <v>391</v>
      </c>
      <c r="F33" s="44">
        <v>-32</v>
      </c>
      <c r="G33" s="44"/>
      <c r="H33" s="44">
        <f t="shared" si="0"/>
        <v>39.590000000000032</v>
      </c>
    </row>
    <row r="34" spans="1:8" x14ac:dyDescent="0.3">
      <c r="A34">
        <v>1458555</v>
      </c>
      <c r="B34" s="45">
        <v>46009</v>
      </c>
      <c r="C34" s="45" t="s">
        <v>354</v>
      </c>
      <c r="D34" s="45" t="s">
        <v>372</v>
      </c>
      <c r="E34" t="s">
        <v>335</v>
      </c>
      <c r="F34" s="44"/>
      <c r="G34" s="44">
        <v>150</v>
      </c>
      <c r="H34" s="44">
        <f>H33-F34+G34</f>
        <v>189.59000000000003</v>
      </c>
    </row>
    <row r="35" spans="1:8" x14ac:dyDescent="0.3">
      <c r="A35">
        <v>1458558</v>
      </c>
      <c r="B35" s="45">
        <v>46009</v>
      </c>
      <c r="C35" s="45" t="s">
        <v>356</v>
      </c>
      <c r="D35" s="45" t="s">
        <v>373</v>
      </c>
      <c r="E35" t="s">
        <v>336</v>
      </c>
      <c r="F35" s="44">
        <v>22.52</v>
      </c>
      <c r="G35" s="44"/>
      <c r="H35" s="44">
        <f t="shared" si="0"/>
        <v>167.07000000000002</v>
      </c>
    </row>
    <row r="36" spans="1:8" x14ac:dyDescent="0.3">
      <c r="A36" s="46">
        <v>1458797</v>
      </c>
      <c r="B36" s="47">
        <v>46010</v>
      </c>
      <c r="C36" s="52" t="s">
        <v>374</v>
      </c>
      <c r="D36" s="52" t="s">
        <v>375</v>
      </c>
      <c r="E36" s="46" t="s">
        <v>87</v>
      </c>
      <c r="F36" s="48">
        <v>543</v>
      </c>
      <c r="G36" s="48"/>
      <c r="H36" s="44">
        <f t="shared" si="0"/>
        <v>-375.92999999999995</v>
      </c>
    </row>
    <row r="37" spans="1:8" x14ac:dyDescent="0.3">
      <c r="A37">
        <v>1459776</v>
      </c>
      <c r="B37" s="45">
        <v>46015</v>
      </c>
      <c r="C37" s="45" t="s">
        <v>354</v>
      </c>
      <c r="D37" s="45" t="s">
        <v>376</v>
      </c>
      <c r="E37" t="s">
        <v>337</v>
      </c>
      <c r="F37" s="44"/>
      <c r="G37" s="44">
        <v>65</v>
      </c>
      <c r="H37" s="44">
        <f t="shared" si="0"/>
        <v>-310.92999999999995</v>
      </c>
    </row>
    <row r="38" spans="1:8" x14ac:dyDescent="0.3">
      <c r="A38">
        <v>1459779</v>
      </c>
      <c r="B38" s="45">
        <v>46015</v>
      </c>
      <c r="C38" s="45" t="s">
        <v>356</v>
      </c>
      <c r="D38" s="45" t="s">
        <v>377</v>
      </c>
      <c r="E38" t="s">
        <v>338</v>
      </c>
      <c r="F38" s="44">
        <v>9.75</v>
      </c>
      <c r="G38" s="44"/>
      <c r="H38" s="44">
        <f t="shared" si="0"/>
        <v>-320.67999999999995</v>
      </c>
    </row>
    <row r="39" spans="1:8" x14ac:dyDescent="0.3">
      <c r="A39">
        <v>1459944</v>
      </c>
      <c r="B39" s="45">
        <v>46020</v>
      </c>
      <c r="C39" s="45" t="s">
        <v>354</v>
      </c>
      <c r="D39" s="45" t="s">
        <v>378</v>
      </c>
      <c r="E39" t="s">
        <v>339</v>
      </c>
      <c r="F39" s="44"/>
      <c r="G39" s="44">
        <v>65</v>
      </c>
      <c r="H39" s="44">
        <f t="shared" si="0"/>
        <v>-255.67999999999995</v>
      </c>
    </row>
    <row r="40" spans="1:8" x14ac:dyDescent="0.3">
      <c r="A40">
        <v>1459947</v>
      </c>
      <c r="B40" s="45">
        <v>46020</v>
      </c>
      <c r="C40" s="45" t="s">
        <v>356</v>
      </c>
      <c r="D40" s="45" t="s">
        <v>379</v>
      </c>
      <c r="E40" t="s">
        <v>340</v>
      </c>
      <c r="F40" s="44">
        <v>9.75</v>
      </c>
      <c r="G40" s="44"/>
      <c r="H40" s="44">
        <f t="shared" si="0"/>
        <v>-265.42999999999995</v>
      </c>
    </row>
    <row r="41" spans="1:8" x14ac:dyDescent="0.3">
      <c r="A41">
        <v>1459951</v>
      </c>
      <c r="B41" s="45">
        <v>46020</v>
      </c>
      <c r="C41" s="45" t="s">
        <v>354</v>
      </c>
      <c r="D41" s="45" t="s">
        <v>380</v>
      </c>
      <c r="E41" t="s">
        <v>341</v>
      </c>
      <c r="F41" s="44"/>
      <c r="G41" s="44">
        <v>65</v>
      </c>
      <c r="H41" s="44">
        <f t="shared" si="0"/>
        <v>-200.42999999999995</v>
      </c>
    </row>
    <row r="42" spans="1:8" x14ac:dyDescent="0.3">
      <c r="A42">
        <v>1459954</v>
      </c>
      <c r="B42" s="45">
        <v>46020</v>
      </c>
      <c r="C42" s="45" t="s">
        <v>356</v>
      </c>
      <c r="D42" s="45" t="s">
        <v>381</v>
      </c>
      <c r="E42" t="s">
        <v>342</v>
      </c>
      <c r="F42" s="44">
        <v>9.75</v>
      </c>
      <c r="G42" s="44"/>
      <c r="H42" s="44">
        <f t="shared" si="0"/>
        <v>-210.17999999999995</v>
      </c>
    </row>
    <row r="43" spans="1:8" x14ac:dyDescent="0.3">
      <c r="A43">
        <v>1460016</v>
      </c>
      <c r="B43" s="45">
        <v>46020</v>
      </c>
      <c r="C43" s="45" t="s">
        <v>354</v>
      </c>
      <c r="D43" s="45" t="s">
        <v>382</v>
      </c>
      <c r="E43" t="s">
        <v>343</v>
      </c>
      <c r="F43" s="44"/>
      <c r="G43" s="44">
        <v>150</v>
      </c>
      <c r="H43" s="44">
        <f t="shared" si="0"/>
        <v>-60.17999999999995</v>
      </c>
    </row>
    <row r="44" spans="1:8" x14ac:dyDescent="0.3">
      <c r="A44">
        <v>1460019</v>
      </c>
      <c r="B44" s="45">
        <v>46020</v>
      </c>
      <c r="C44" s="45" t="s">
        <v>356</v>
      </c>
      <c r="D44" s="45" t="s">
        <v>383</v>
      </c>
      <c r="E44" t="s">
        <v>344</v>
      </c>
      <c r="F44" s="44">
        <v>22.52</v>
      </c>
      <c r="G44" s="44"/>
      <c r="H44" s="44">
        <f t="shared" si="0"/>
        <v>-82.699999999999946</v>
      </c>
    </row>
    <row r="45" spans="1:8" x14ac:dyDescent="0.3">
      <c r="A45">
        <v>1460034</v>
      </c>
      <c r="B45" s="45">
        <v>46020</v>
      </c>
      <c r="C45" s="45" t="s">
        <v>354</v>
      </c>
      <c r="D45" s="45" t="s">
        <v>384</v>
      </c>
      <c r="E45" t="s">
        <v>345</v>
      </c>
      <c r="F45" s="44"/>
      <c r="G45" s="44">
        <v>65</v>
      </c>
      <c r="H45" s="44">
        <f t="shared" si="0"/>
        <v>-17.699999999999946</v>
      </c>
    </row>
    <row r="46" spans="1:8" x14ac:dyDescent="0.3">
      <c r="A46">
        <v>1460037</v>
      </c>
      <c r="B46" s="45">
        <v>46020</v>
      </c>
      <c r="C46" s="45" t="s">
        <v>356</v>
      </c>
      <c r="D46" s="45" t="s">
        <v>385</v>
      </c>
      <c r="E46" t="s">
        <v>346</v>
      </c>
      <c r="F46" s="44">
        <v>9.75</v>
      </c>
      <c r="G46" s="44"/>
      <c r="H46" s="44">
        <f t="shared" si="0"/>
        <v>-27.449999999999946</v>
      </c>
    </row>
    <row r="47" spans="1:8" x14ac:dyDescent="0.3">
      <c r="A47">
        <v>1460050</v>
      </c>
      <c r="B47" s="45">
        <v>46021</v>
      </c>
      <c r="C47" s="45" t="s">
        <v>354</v>
      </c>
      <c r="D47" s="45" t="s">
        <v>386</v>
      </c>
      <c r="E47" t="s">
        <v>347</v>
      </c>
      <c r="F47" s="44"/>
      <c r="G47" s="44">
        <v>65</v>
      </c>
      <c r="H47" s="44">
        <f t="shared" si="0"/>
        <v>37.550000000000054</v>
      </c>
    </row>
    <row r="48" spans="1:8" x14ac:dyDescent="0.3">
      <c r="A48">
        <v>1460053</v>
      </c>
      <c r="B48" s="45">
        <v>46021</v>
      </c>
      <c r="C48" s="45" t="s">
        <v>356</v>
      </c>
      <c r="D48" s="45" t="s">
        <v>387</v>
      </c>
      <c r="E48" t="s">
        <v>348</v>
      </c>
      <c r="F48" s="44">
        <v>9.75</v>
      </c>
      <c r="G48" s="44"/>
      <c r="H48" s="44">
        <f t="shared" si="0"/>
        <v>27.800000000000054</v>
      </c>
    </row>
    <row r="49" spans="1:8" x14ac:dyDescent="0.3">
      <c r="A49">
        <v>1461811</v>
      </c>
      <c r="B49" s="45">
        <v>46022</v>
      </c>
      <c r="C49" s="45" t="s">
        <v>354</v>
      </c>
      <c r="D49" s="45" t="s">
        <v>388</v>
      </c>
      <c r="E49" t="s">
        <v>349</v>
      </c>
      <c r="F49" s="44"/>
      <c r="G49" s="44">
        <v>65</v>
      </c>
      <c r="H49" s="44">
        <f t="shared" si="0"/>
        <v>92.800000000000054</v>
      </c>
    </row>
    <row r="50" spans="1:8" x14ac:dyDescent="0.3">
      <c r="A50">
        <v>1461814</v>
      </c>
      <c r="B50" s="45">
        <v>46022</v>
      </c>
      <c r="C50" s="45" t="s">
        <v>356</v>
      </c>
      <c r="D50" s="45" t="s">
        <v>389</v>
      </c>
      <c r="E50" t="s">
        <v>319</v>
      </c>
      <c r="F50" s="44">
        <v>9.7899999999999991</v>
      </c>
      <c r="G50" s="44"/>
      <c r="H50" s="44">
        <f t="shared" si="0"/>
        <v>83.010000000000048</v>
      </c>
    </row>
    <row r="51" spans="1:8" x14ac:dyDescent="0.3">
      <c r="F51" s="49">
        <f>SUM(F14:F50)</f>
        <v>825.51</v>
      </c>
      <c r="G51" s="49">
        <f>SUM(G14:G50)</f>
        <v>1245.52</v>
      </c>
      <c r="H51" s="49">
        <v>84</v>
      </c>
    </row>
    <row r="52" spans="1:8" x14ac:dyDescent="0.3">
      <c r="A52" s="16" t="s">
        <v>399</v>
      </c>
      <c r="B52" s="16"/>
      <c r="C52" s="16"/>
      <c r="D52" s="16"/>
      <c r="E52" s="16"/>
    </row>
    <row r="53" spans="1:8" x14ac:dyDescent="0.3">
      <c r="A53" s="57" t="s">
        <v>418</v>
      </c>
      <c r="B53" s="16"/>
      <c r="C53" s="16"/>
      <c r="D53" s="16"/>
      <c r="E53" s="16"/>
    </row>
    <row r="54" spans="1:8" x14ac:dyDescent="0.3">
      <c r="A54" t="s">
        <v>416</v>
      </c>
    </row>
    <row r="55" spans="1:8" x14ac:dyDescent="0.3">
      <c r="A55" t="s">
        <v>398</v>
      </c>
    </row>
    <row r="56" spans="1:8" x14ac:dyDescent="0.3">
      <c r="A56" t="s">
        <v>400</v>
      </c>
    </row>
    <row r="58" spans="1:8" x14ac:dyDescent="0.3">
      <c r="A58" t="s">
        <v>401</v>
      </c>
    </row>
    <row r="59" spans="1:8" x14ac:dyDescent="0.3">
      <c r="A59" t="s">
        <v>402</v>
      </c>
    </row>
    <row r="60" spans="1:8" x14ac:dyDescent="0.3">
      <c r="A60" t="s">
        <v>403</v>
      </c>
    </row>
    <row r="61" spans="1:8" x14ac:dyDescent="0.3">
      <c r="A61" t="s">
        <v>404</v>
      </c>
    </row>
    <row r="62" spans="1:8" x14ac:dyDescent="0.3">
      <c r="A62" t="s">
        <v>405</v>
      </c>
    </row>
    <row r="63" spans="1:8" x14ac:dyDescent="0.3">
      <c r="A63" t="s">
        <v>406</v>
      </c>
    </row>
    <row r="65" spans="1:8" x14ac:dyDescent="0.3">
      <c r="A65" s="16" t="s">
        <v>408</v>
      </c>
    </row>
    <row r="67" spans="1:8" ht="15" thickBot="1" x14ac:dyDescent="0.35">
      <c r="A67" s="16" t="s">
        <v>350</v>
      </c>
      <c r="B67" s="16"/>
      <c r="C67" s="16"/>
    </row>
    <row r="68" spans="1:8" x14ac:dyDescent="0.3">
      <c r="A68" s="16" t="s">
        <v>316</v>
      </c>
      <c r="B68" s="16"/>
      <c r="C68" s="16"/>
      <c r="E68" s="50"/>
    </row>
    <row r="69" spans="1:8" x14ac:dyDescent="0.3">
      <c r="A69" s="16" t="s">
        <v>317</v>
      </c>
      <c r="B69" s="16"/>
      <c r="C69" s="16"/>
    </row>
    <row r="70" spans="1:8" x14ac:dyDescent="0.3">
      <c r="A70" s="16" t="s">
        <v>318</v>
      </c>
      <c r="B70" s="16"/>
      <c r="C70" s="16"/>
    </row>
    <row r="72" spans="1:8" x14ac:dyDescent="0.3">
      <c r="A72" s="43" t="s">
        <v>351</v>
      </c>
      <c r="B72" s="43" t="s">
        <v>7</v>
      </c>
      <c r="C72" s="43" t="s">
        <v>352</v>
      </c>
      <c r="D72" s="43" t="s">
        <v>353</v>
      </c>
      <c r="E72" s="43" t="s">
        <v>8</v>
      </c>
      <c r="F72" s="43" t="s">
        <v>9</v>
      </c>
      <c r="G72" s="43" t="s">
        <v>10</v>
      </c>
      <c r="H72" s="43" t="s">
        <v>11</v>
      </c>
    </row>
    <row r="73" spans="1:8" x14ac:dyDescent="0.3">
      <c r="E73" s="43" t="s">
        <v>12</v>
      </c>
      <c r="F73" s="44"/>
      <c r="G73" s="44"/>
      <c r="H73" s="44">
        <v>-337</v>
      </c>
    </row>
    <row r="74" spans="1:8" x14ac:dyDescent="0.3">
      <c r="A74">
        <v>1452335</v>
      </c>
      <c r="B74" s="45">
        <v>45993</v>
      </c>
      <c r="C74" s="45" t="s">
        <v>354</v>
      </c>
      <c r="D74" s="45" t="s">
        <v>355</v>
      </c>
      <c r="E74" t="s">
        <v>320</v>
      </c>
      <c r="F74" s="44"/>
      <c r="G74" s="44">
        <v>50</v>
      </c>
      <c r="H74" s="44">
        <f>H73-F74+G74</f>
        <v>-287</v>
      </c>
    </row>
    <row r="75" spans="1:8" x14ac:dyDescent="0.3">
      <c r="A75">
        <v>1452338</v>
      </c>
      <c r="B75" s="45">
        <v>45993</v>
      </c>
      <c r="C75" s="45" t="s">
        <v>356</v>
      </c>
      <c r="D75" s="45" t="s">
        <v>357</v>
      </c>
      <c r="E75" t="s">
        <v>321</v>
      </c>
      <c r="F75" s="44">
        <v>7.51</v>
      </c>
      <c r="G75" s="44"/>
      <c r="H75" s="44">
        <f t="shared" ref="H75:H92" si="1">H74-F75+G75</f>
        <v>-294.51</v>
      </c>
    </row>
    <row r="76" spans="1:8" x14ac:dyDescent="0.3">
      <c r="A76">
        <v>1453235</v>
      </c>
      <c r="B76" s="45">
        <v>45995</v>
      </c>
      <c r="C76" s="45" t="s">
        <v>354</v>
      </c>
      <c r="D76" s="45" t="s">
        <v>358</v>
      </c>
      <c r="E76" t="s">
        <v>322</v>
      </c>
      <c r="F76" s="44"/>
      <c r="G76" s="44">
        <v>50</v>
      </c>
      <c r="H76" s="44">
        <f t="shared" si="1"/>
        <v>-244.51</v>
      </c>
    </row>
    <row r="77" spans="1:8" x14ac:dyDescent="0.3">
      <c r="A77">
        <v>1453238</v>
      </c>
      <c r="B77" s="45">
        <v>45995</v>
      </c>
      <c r="C77" s="45" t="s">
        <v>356</v>
      </c>
      <c r="D77" s="45" t="s">
        <v>359</v>
      </c>
      <c r="E77" t="s">
        <v>323</v>
      </c>
      <c r="F77" s="44">
        <v>7.51</v>
      </c>
      <c r="G77" s="44"/>
      <c r="H77" s="44">
        <f t="shared" si="1"/>
        <v>-252.01999999999998</v>
      </c>
    </row>
    <row r="78" spans="1:8" x14ac:dyDescent="0.3">
      <c r="A78">
        <v>1453242</v>
      </c>
      <c r="B78" s="45">
        <v>45995</v>
      </c>
      <c r="C78" s="45" t="s">
        <v>354</v>
      </c>
      <c r="D78" s="45" t="s">
        <v>360</v>
      </c>
      <c r="E78" t="s">
        <v>324</v>
      </c>
      <c r="F78" s="44"/>
      <c r="G78" s="44">
        <v>50</v>
      </c>
      <c r="H78" s="44">
        <f t="shared" si="1"/>
        <v>-202.01999999999998</v>
      </c>
    </row>
    <row r="79" spans="1:8" x14ac:dyDescent="0.3">
      <c r="A79">
        <v>1453245</v>
      </c>
      <c r="B79" s="45">
        <v>45995</v>
      </c>
      <c r="C79" s="45" t="s">
        <v>356</v>
      </c>
      <c r="D79" s="45" t="s">
        <v>361</v>
      </c>
      <c r="E79" t="s">
        <v>325</v>
      </c>
      <c r="F79" s="44">
        <v>7.51</v>
      </c>
      <c r="G79" s="44"/>
      <c r="H79" s="44">
        <f t="shared" si="1"/>
        <v>-209.52999999999997</v>
      </c>
    </row>
    <row r="80" spans="1:8" x14ac:dyDescent="0.3">
      <c r="A80">
        <v>1453580</v>
      </c>
      <c r="B80" s="45">
        <v>45995</v>
      </c>
      <c r="C80" s="45" t="s">
        <v>354</v>
      </c>
      <c r="D80" s="45" t="s">
        <v>362</v>
      </c>
      <c r="E80" t="s">
        <v>326</v>
      </c>
      <c r="F80" s="44"/>
      <c r="G80" s="44">
        <v>50</v>
      </c>
      <c r="H80" s="44">
        <f t="shared" si="1"/>
        <v>-159.52999999999997</v>
      </c>
    </row>
    <row r="81" spans="1:9" x14ac:dyDescent="0.3">
      <c r="A81">
        <v>1453583</v>
      </c>
      <c r="B81" s="45">
        <v>45995</v>
      </c>
      <c r="C81" s="45" t="s">
        <v>356</v>
      </c>
      <c r="D81" s="45" t="s">
        <v>363</v>
      </c>
      <c r="E81" t="s">
        <v>327</v>
      </c>
      <c r="F81" s="44">
        <v>7.51</v>
      </c>
      <c r="G81" s="44"/>
      <c r="H81" s="44">
        <f t="shared" si="1"/>
        <v>-167.03999999999996</v>
      </c>
    </row>
    <row r="82" spans="1:9" x14ac:dyDescent="0.3">
      <c r="A82">
        <v>1453658</v>
      </c>
      <c r="B82" s="45">
        <v>45995</v>
      </c>
      <c r="C82" s="45" t="s">
        <v>354</v>
      </c>
      <c r="D82" s="45" t="s">
        <v>364</v>
      </c>
      <c r="E82" t="s">
        <v>328</v>
      </c>
      <c r="F82" s="44"/>
      <c r="G82" s="44">
        <v>95.52</v>
      </c>
      <c r="H82" s="44">
        <f t="shared" si="1"/>
        <v>-71.519999999999968</v>
      </c>
    </row>
    <row r="83" spans="1:9" x14ac:dyDescent="0.3">
      <c r="A83">
        <v>1453661</v>
      </c>
      <c r="B83" s="45">
        <v>45995</v>
      </c>
      <c r="C83" s="45" t="s">
        <v>356</v>
      </c>
      <c r="D83" s="45" t="s">
        <v>365</v>
      </c>
      <c r="E83" t="s">
        <v>329</v>
      </c>
      <c r="F83" s="44">
        <v>14.34</v>
      </c>
      <c r="G83" s="44"/>
      <c r="H83" s="44">
        <f t="shared" si="1"/>
        <v>-85.859999999999971</v>
      </c>
    </row>
    <row r="84" spans="1:9" x14ac:dyDescent="0.3">
      <c r="A84" s="46">
        <v>1456340</v>
      </c>
      <c r="B84" s="47">
        <v>45995</v>
      </c>
      <c r="C84" s="51" t="s">
        <v>366</v>
      </c>
      <c r="D84" s="47" t="s">
        <v>367</v>
      </c>
      <c r="E84" s="46" t="s">
        <v>330</v>
      </c>
      <c r="F84" s="48">
        <v>95.52</v>
      </c>
      <c r="G84" s="48"/>
      <c r="H84" s="44">
        <f t="shared" si="1"/>
        <v>-181.37999999999997</v>
      </c>
    </row>
    <row r="85" spans="1:9" x14ac:dyDescent="0.3">
      <c r="A85">
        <v>1455657</v>
      </c>
      <c r="B85" s="45">
        <v>46000</v>
      </c>
      <c r="C85" s="45" t="s">
        <v>354</v>
      </c>
      <c r="D85" s="45" t="s">
        <v>368</v>
      </c>
      <c r="E85" t="s">
        <v>331</v>
      </c>
      <c r="F85" s="44"/>
      <c r="G85" s="44">
        <v>50</v>
      </c>
      <c r="H85" s="44">
        <f t="shared" si="1"/>
        <v>-131.37999999999997</v>
      </c>
    </row>
    <row r="86" spans="1:9" ht="11.4" customHeight="1" x14ac:dyDescent="0.3">
      <c r="A86">
        <v>1455660</v>
      </c>
      <c r="B86" s="45">
        <v>46000</v>
      </c>
      <c r="C86" s="45" t="s">
        <v>356</v>
      </c>
      <c r="D86" s="45" t="s">
        <v>369</v>
      </c>
      <c r="E86" t="s">
        <v>332</v>
      </c>
      <c r="F86" s="44">
        <v>7.51</v>
      </c>
      <c r="G86" s="44"/>
      <c r="H86" s="44">
        <f t="shared" si="1"/>
        <v>-138.88999999999996</v>
      </c>
    </row>
    <row r="87" spans="1:9" x14ac:dyDescent="0.3">
      <c r="A87">
        <v>1457914</v>
      </c>
      <c r="B87" s="45">
        <v>46007</v>
      </c>
      <c r="C87" s="45" t="s">
        <v>354</v>
      </c>
      <c r="D87" s="45" t="s">
        <v>370</v>
      </c>
      <c r="E87" t="s">
        <v>333</v>
      </c>
      <c r="F87" s="44"/>
      <c r="G87" s="44">
        <v>210</v>
      </c>
      <c r="H87" s="44">
        <f t="shared" si="1"/>
        <v>71.110000000000042</v>
      </c>
    </row>
    <row r="88" spans="1:9" x14ac:dyDescent="0.3">
      <c r="A88" s="53">
        <v>1457917</v>
      </c>
      <c r="B88" s="54">
        <v>46007</v>
      </c>
      <c r="C88" s="54" t="s">
        <v>356</v>
      </c>
      <c r="D88" s="54" t="s">
        <v>371</v>
      </c>
      <c r="E88" s="53" t="s">
        <v>334</v>
      </c>
      <c r="F88" s="55">
        <v>31.52</v>
      </c>
      <c r="G88" s="55"/>
      <c r="H88" s="55">
        <f t="shared" si="1"/>
        <v>39.590000000000046</v>
      </c>
      <c r="I88" s="58" t="s">
        <v>407</v>
      </c>
    </row>
    <row r="89" spans="1:9" ht="14.4" hidden="1" customHeight="1" x14ac:dyDescent="0.3">
      <c r="A89" s="53">
        <v>1457918</v>
      </c>
      <c r="B89" s="54">
        <v>46007</v>
      </c>
      <c r="C89" s="54" t="s">
        <v>354</v>
      </c>
      <c r="D89" s="54" t="s">
        <v>392</v>
      </c>
      <c r="E89" s="53" t="s">
        <v>333</v>
      </c>
      <c r="F89" s="55"/>
      <c r="G89" s="55">
        <v>210</v>
      </c>
      <c r="H89" s="55">
        <f t="shared" si="1"/>
        <v>249.59000000000003</v>
      </c>
      <c r="I89" s="58"/>
    </row>
    <row r="90" spans="1:9" ht="14.4" hidden="1" customHeight="1" x14ac:dyDescent="0.3">
      <c r="A90" s="53">
        <v>1457919</v>
      </c>
      <c r="B90" s="54">
        <v>46007</v>
      </c>
      <c r="C90" s="54" t="s">
        <v>356</v>
      </c>
      <c r="D90" s="54" t="s">
        <v>393</v>
      </c>
      <c r="E90" s="53" t="s">
        <v>334</v>
      </c>
      <c r="F90" s="55">
        <v>32</v>
      </c>
      <c r="G90" s="55"/>
      <c r="H90" s="55">
        <f t="shared" si="1"/>
        <v>217.59000000000003</v>
      </c>
      <c r="I90" s="58"/>
    </row>
    <row r="91" spans="1:9" ht="14.4" hidden="1" customHeight="1" x14ac:dyDescent="0.3">
      <c r="A91" s="53">
        <v>1457925</v>
      </c>
      <c r="B91" s="54">
        <v>46007</v>
      </c>
      <c r="C91" s="54"/>
      <c r="D91" s="54" t="s">
        <v>392</v>
      </c>
      <c r="E91" s="56" t="s">
        <v>390</v>
      </c>
      <c r="F91" s="55"/>
      <c r="G91" s="55">
        <v>-210</v>
      </c>
      <c r="H91" s="55">
        <f t="shared" si="1"/>
        <v>7.5900000000000318</v>
      </c>
      <c r="I91" s="58"/>
    </row>
    <row r="92" spans="1:9" ht="14.4" hidden="1" customHeight="1" x14ac:dyDescent="0.3">
      <c r="A92" s="53">
        <v>1457926</v>
      </c>
      <c r="B92" s="54">
        <v>46007</v>
      </c>
      <c r="C92" s="54"/>
      <c r="D92" s="54" t="s">
        <v>393</v>
      </c>
      <c r="E92" s="56" t="s">
        <v>391</v>
      </c>
      <c r="F92" s="55">
        <v>-32</v>
      </c>
      <c r="G92" s="55"/>
      <c r="H92" s="55">
        <f t="shared" si="1"/>
        <v>39.590000000000032</v>
      </c>
      <c r="I92" s="58"/>
    </row>
    <row r="93" spans="1:9" x14ac:dyDescent="0.3">
      <c r="A93" s="53">
        <v>1458555</v>
      </c>
      <c r="B93" s="54">
        <v>46009</v>
      </c>
      <c r="C93" s="54" t="s">
        <v>354</v>
      </c>
      <c r="D93" s="54" t="s">
        <v>372</v>
      </c>
      <c r="E93" s="53" t="s">
        <v>335</v>
      </c>
      <c r="F93" s="55"/>
      <c r="G93" s="55">
        <v>150</v>
      </c>
      <c r="H93" s="55">
        <f>H92-F93+G93</f>
        <v>189.59000000000003</v>
      </c>
      <c r="I93" s="58"/>
    </row>
    <row r="94" spans="1:9" x14ac:dyDescent="0.3">
      <c r="A94">
        <v>1458558</v>
      </c>
      <c r="B94" s="45">
        <v>46009</v>
      </c>
      <c r="C94" s="45" t="s">
        <v>356</v>
      </c>
      <c r="D94" s="45" t="s">
        <v>373</v>
      </c>
      <c r="E94" t="s">
        <v>336</v>
      </c>
      <c r="F94" s="44">
        <v>22.52</v>
      </c>
      <c r="G94" s="44"/>
      <c r="H94" s="44">
        <f t="shared" ref="H94:H109" si="2">H93-F94+G94</f>
        <v>167.07000000000002</v>
      </c>
    </row>
    <row r="95" spans="1:9" x14ac:dyDescent="0.3">
      <c r="A95" s="46">
        <v>1458797</v>
      </c>
      <c r="B95" s="47">
        <v>46010</v>
      </c>
      <c r="C95" s="52" t="s">
        <v>374</v>
      </c>
      <c r="D95" s="52" t="s">
        <v>375</v>
      </c>
      <c r="E95" s="46" t="s">
        <v>87</v>
      </c>
      <c r="F95" s="48">
        <v>543</v>
      </c>
      <c r="G95" s="48"/>
      <c r="H95" s="44">
        <f t="shared" si="2"/>
        <v>-375.92999999999995</v>
      </c>
    </row>
    <row r="96" spans="1:9" x14ac:dyDescent="0.3">
      <c r="A96">
        <v>1459776</v>
      </c>
      <c r="B96" s="45">
        <v>46015</v>
      </c>
      <c r="C96" s="45" t="s">
        <v>354</v>
      </c>
      <c r="D96" s="45" t="s">
        <v>376</v>
      </c>
      <c r="E96" t="s">
        <v>337</v>
      </c>
      <c r="F96" s="44"/>
      <c r="G96" s="44">
        <v>65</v>
      </c>
      <c r="H96" s="44">
        <f t="shared" si="2"/>
        <v>-310.92999999999995</v>
      </c>
    </row>
    <row r="97" spans="1:8" x14ac:dyDescent="0.3">
      <c r="A97">
        <v>1459779</v>
      </c>
      <c r="B97" s="45">
        <v>46015</v>
      </c>
      <c r="C97" s="45" t="s">
        <v>356</v>
      </c>
      <c r="D97" s="45" t="s">
        <v>377</v>
      </c>
      <c r="E97" t="s">
        <v>338</v>
      </c>
      <c r="F97" s="44">
        <v>9.75</v>
      </c>
      <c r="G97" s="44"/>
      <c r="H97" s="44">
        <f t="shared" si="2"/>
        <v>-320.67999999999995</v>
      </c>
    </row>
    <row r="98" spans="1:8" x14ac:dyDescent="0.3">
      <c r="A98">
        <v>1459944</v>
      </c>
      <c r="B98" s="45">
        <v>46020</v>
      </c>
      <c r="C98" s="45" t="s">
        <v>354</v>
      </c>
      <c r="D98" s="45" t="s">
        <v>378</v>
      </c>
      <c r="E98" t="s">
        <v>339</v>
      </c>
      <c r="F98" s="44"/>
      <c r="G98" s="44">
        <v>65</v>
      </c>
      <c r="H98" s="44">
        <f t="shared" si="2"/>
        <v>-255.67999999999995</v>
      </c>
    </row>
    <row r="99" spans="1:8" x14ac:dyDescent="0.3">
      <c r="A99">
        <v>1459947</v>
      </c>
      <c r="B99" s="45">
        <v>46020</v>
      </c>
      <c r="C99" s="45" t="s">
        <v>356</v>
      </c>
      <c r="D99" s="45" t="s">
        <v>379</v>
      </c>
      <c r="E99" t="s">
        <v>340</v>
      </c>
      <c r="F99" s="44">
        <v>9.75</v>
      </c>
      <c r="G99" s="44"/>
      <c r="H99" s="44">
        <f t="shared" si="2"/>
        <v>-265.42999999999995</v>
      </c>
    </row>
    <row r="100" spans="1:8" x14ac:dyDescent="0.3">
      <c r="A100">
        <v>1459951</v>
      </c>
      <c r="B100" s="45">
        <v>46020</v>
      </c>
      <c r="C100" s="45" t="s">
        <v>354</v>
      </c>
      <c r="D100" s="45" t="s">
        <v>380</v>
      </c>
      <c r="E100" t="s">
        <v>341</v>
      </c>
      <c r="F100" s="44"/>
      <c r="G100" s="44">
        <v>65</v>
      </c>
      <c r="H100" s="44">
        <f t="shared" si="2"/>
        <v>-200.42999999999995</v>
      </c>
    </row>
    <row r="101" spans="1:8" x14ac:dyDescent="0.3">
      <c r="A101">
        <v>1459954</v>
      </c>
      <c r="B101" s="45">
        <v>46020</v>
      </c>
      <c r="C101" s="45" t="s">
        <v>356</v>
      </c>
      <c r="D101" s="45" t="s">
        <v>381</v>
      </c>
      <c r="E101" t="s">
        <v>342</v>
      </c>
      <c r="F101" s="44">
        <v>9.75</v>
      </c>
      <c r="G101" s="44"/>
      <c r="H101" s="44">
        <f t="shared" si="2"/>
        <v>-210.17999999999995</v>
      </c>
    </row>
    <row r="102" spans="1:8" x14ac:dyDescent="0.3">
      <c r="A102">
        <v>1460016</v>
      </c>
      <c r="B102" s="45">
        <v>46020</v>
      </c>
      <c r="C102" s="45" t="s">
        <v>354</v>
      </c>
      <c r="D102" s="45" t="s">
        <v>382</v>
      </c>
      <c r="E102" t="s">
        <v>343</v>
      </c>
      <c r="F102" s="44"/>
      <c r="G102" s="44">
        <v>150</v>
      </c>
      <c r="H102" s="44">
        <f t="shared" si="2"/>
        <v>-60.17999999999995</v>
      </c>
    </row>
    <row r="103" spans="1:8" x14ac:dyDescent="0.3">
      <c r="A103">
        <v>1460019</v>
      </c>
      <c r="B103" s="45">
        <v>46020</v>
      </c>
      <c r="C103" s="45" t="s">
        <v>356</v>
      </c>
      <c r="D103" s="45" t="s">
        <v>383</v>
      </c>
      <c r="E103" t="s">
        <v>344</v>
      </c>
      <c r="F103" s="44">
        <v>22.52</v>
      </c>
      <c r="G103" s="44"/>
      <c r="H103" s="44">
        <f t="shared" si="2"/>
        <v>-82.699999999999946</v>
      </c>
    </row>
    <row r="104" spans="1:8" x14ac:dyDescent="0.3">
      <c r="A104">
        <v>1460034</v>
      </c>
      <c r="B104" s="45">
        <v>46020</v>
      </c>
      <c r="C104" s="45" t="s">
        <v>354</v>
      </c>
      <c r="D104" s="45" t="s">
        <v>384</v>
      </c>
      <c r="E104" t="s">
        <v>345</v>
      </c>
      <c r="F104" s="44"/>
      <c r="G104" s="44">
        <v>65</v>
      </c>
      <c r="H104" s="44">
        <f t="shared" si="2"/>
        <v>-17.699999999999946</v>
      </c>
    </row>
    <row r="105" spans="1:8" x14ac:dyDescent="0.3">
      <c r="A105">
        <v>1460037</v>
      </c>
      <c r="B105" s="45">
        <v>46020</v>
      </c>
      <c r="C105" s="45" t="s">
        <v>356</v>
      </c>
      <c r="D105" s="45" t="s">
        <v>385</v>
      </c>
      <c r="E105" t="s">
        <v>346</v>
      </c>
      <c r="F105" s="44">
        <v>9.75</v>
      </c>
      <c r="G105" s="44"/>
      <c r="H105" s="44">
        <f t="shared" si="2"/>
        <v>-27.449999999999946</v>
      </c>
    </row>
    <row r="106" spans="1:8" x14ac:dyDescent="0.3">
      <c r="A106">
        <v>1460050</v>
      </c>
      <c r="B106" s="45">
        <v>46021</v>
      </c>
      <c r="C106" s="45" t="s">
        <v>354</v>
      </c>
      <c r="D106" s="45" t="s">
        <v>386</v>
      </c>
      <c r="E106" t="s">
        <v>347</v>
      </c>
      <c r="F106" s="44"/>
      <c r="G106" s="44">
        <v>65</v>
      </c>
      <c r="H106" s="44">
        <f t="shared" si="2"/>
        <v>37.550000000000054</v>
      </c>
    </row>
    <row r="107" spans="1:8" x14ac:dyDescent="0.3">
      <c r="A107">
        <v>1460053</v>
      </c>
      <c r="B107" s="45">
        <v>46021</v>
      </c>
      <c r="C107" s="45" t="s">
        <v>356</v>
      </c>
      <c r="D107" s="45" t="s">
        <v>387</v>
      </c>
      <c r="E107" t="s">
        <v>348</v>
      </c>
      <c r="F107" s="44">
        <v>9.75</v>
      </c>
      <c r="G107" s="44"/>
      <c r="H107" s="44">
        <f t="shared" si="2"/>
        <v>27.800000000000054</v>
      </c>
    </row>
    <row r="108" spans="1:8" x14ac:dyDescent="0.3">
      <c r="A108">
        <v>1461811</v>
      </c>
      <c r="B108" s="45">
        <v>46022</v>
      </c>
      <c r="C108" s="45" t="s">
        <v>354</v>
      </c>
      <c r="D108" s="45" t="s">
        <v>388</v>
      </c>
      <c r="E108" t="s">
        <v>349</v>
      </c>
      <c r="F108" s="44"/>
      <c r="G108" s="44">
        <v>65</v>
      </c>
      <c r="H108" s="44">
        <f t="shared" si="2"/>
        <v>92.800000000000054</v>
      </c>
    </row>
    <row r="109" spans="1:8" x14ac:dyDescent="0.3">
      <c r="A109">
        <v>1461814</v>
      </c>
      <c r="B109" s="45">
        <v>46022</v>
      </c>
      <c r="C109" s="45" t="s">
        <v>356</v>
      </c>
      <c r="D109" s="45" t="s">
        <v>389</v>
      </c>
      <c r="E109" t="s">
        <v>319</v>
      </c>
      <c r="F109" s="44">
        <v>9.7899999999999991</v>
      </c>
      <c r="G109" s="44"/>
      <c r="H109" s="44">
        <f t="shared" si="2"/>
        <v>83.010000000000048</v>
      </c>
    </row>
    <row r="110" spans="1:8" x14ac:dyDescent="0.3">
      <c r="F110" s="49">
        <f>SUM(F73:F109)</f>
        <v>825.51</v>
      </c>
      <c r="G110" s="49">
        <f>SUM(G73:G109)</f>
        <v>1245.52</v>
      </c>
      <c r="H110" s="49">
        <v>84</v>
      </c>
    </row>
    <row r="112" spans="1:8" x14ac:dyDescent="0.3">
      <c r="A112" t="s">
        <v>409</v>
      </c>
    </row>
    <row r="114" spans="1:7" x14ac:dyDescent="0.3">
      <c r="A114" t="s">
        <v>410</v>
      </c>
    </row>
    <row r="115" spans="1:7" x14ac:dyDescent="0.3">
      <c r="A115" t="s">
        <v>433</v>
      </c>
    </row>
    <row r="116" spans="1:7" x14ac:dyDescent="0.3">
      <c r="A116" t="s">
        <v>434</v>
      </c>
    </row>
    <row r="117" spans="1:7" x14ac:dyDescent="0.3">
      <c r="A117" t="s">
        <v>440</v>
      </c>
    </row>
    <row r="120" spans="1:7" x14ac:dyDescent="0.3">
      <c r="A120" t="s">
        <v>419</v>
      </c>
    </row>
    <row r="121" spans="1:7" x14ac:dyDescent="0.3">
      <c r="A121" t="s">
        <v>413</v>
      </c>
    </row>
    <row r="122" spans="1:7" x14ac:dyDescent="0.3">
      <c r="A122" t="s">
        <v>414</v>
      </c>
    </row>
    <row r="124" spans="1:7" x14ac:dyDescent="0.3">
      <c r="A124" t="s">
        <v>411</v>
      </c>
    </row>
    <row r="125" spans="1:7" x14ac:dyDescent="0.3">
      <c r="A125" t="s">
        <v>412</v>
      </c>
    </row>
    <row r="127" spans="1:7" x14ac:dyDescent="0.3">
      <c r="A127" t="s">
        <v>415</v>
      </c>
    </row>
    <row r="128" spans="1:7" x14ac:dyDescent="0.3">
      <c r="A128" s="59" t="s">
        <v>452</v>
      </c>
      <c r="B128" s="59"/>
      <c r="C128" s="59"/>
      <c r="D128" s="59"/>
      <c r="E128" s="59"/>
      <c r="F128" s="59"/>
      <c r="G128" s="59"/>
    </row>
    <row r="129" spans="1:7" x14ac:dyDescent="0.3">
      <c r="A129" s="59" t="s">
        <v>453</v>
      </c>
      <c r="B129" s="59"/>
      <c r="C129" s="59"/>
      <c r="D129" s="59"/>
      <c r="E129" s="59"/>
      <c r="F129" s="59"/>
      <c r="G129" s="59"/>
    </row>
    <row r="131" spans="1:7" x14ac:dyDescent="0.3">
      <c r="A131" s="57" t="s">
        <v>417</v>
      </c>
    </row>
    <row r="132" spans="1:7" x14ac:dyDescent="0.3">
      <c r="A132" t="s">
        <v>420</v>
      </c>
    </row>
    <row r="133" spans="1:7" x14ac:dyDescent="0.3">
      <c r="A133" t="s">
        <v>425</v>
      </c>
    </row>
    <row r="135" spans="1:7" x14ac:dyDescent="0.3">
      <c r="A135" t="s">
        <v>443</v>
      </c>
    </row>
    <row r="137" spans="1:7" x14ac:dyDescent="0.3">
      <c r="A137" t="s">
        <v>426</v>
      </c>
    </row>
    <row r="139" spans="1:7" x14ac:dyDescent="0.3">
      <c r="A139" t="s">
        <v>421</v>
      </c>
    </row>
    <row r="140" spans="1:7" x14ac:dyDescent="0.3">
      <c r="A140">
        <v>1</v>
      </c>
      <c r="B140" t="s">
        <v>422</v>
      </c>
    </row>
    <row r="141" spans="1:7" x14ac:dyDescent="0.3">
      <c r="A141">
        <v>2</v>
      </c>
      <c r="B141" t="s">
        <v>423</v>
      </c>
    </row>
    <row r="142" spans="1:7" x14ac:dyDescent="0.3">
      <c r="A142">
        <v>3</v>
      </c>
      <c r="B142" t="s">
        <v>424</v>
      </c>
    </row>
    <row r="143" spans="1:7" x14ac:dyDescent="0.3">
      <c r="A143" t="s">
        <v>427</v>
      </c>
    </row>
    <row r="145" spans="1:2" x14ac:dyDescent="0.3">
      <c r="A145" t="s">
        <v>428</v>
      </c>
    </row>
    <row r="146" spans="1:2" x14ac:dyDescent="0.3">
      <c r="A146" t="s">
        <v>438</v>
      </c>
    </row>
    <row r="147" spans="1:2" x14ac:dyDescent="0.3">
      <c r="A147" t="s">
        <v>429</v>
      </c>
    </row>
    <row r="148" spans="1:2" x14ac:dyDescent="0.3">
      <c r="A148" t="s">
        <v>430</v>
      </c>
    </row>
    <row r="149" spans="1:2" x14ac:dyDescent="0.3">
      <c r="A149" t="s">
        <v>431</v>
      </c>
    </row>
    <row r="150" spans="1:2" x14ac:dyDescent="0.3">
      <c r="A150" t="s">
        <v>432</v>
      </c>
    </row>
    <row r="152" spans="1:2" x14ac:dyDescent="0.3">
      <c r="A152" t="s">
        <v>448</v>
      </c>
    </row>
    <row r="153" spans="1:2" x14ac:dyDescent="0.3">
      <c r="A153">
        <v>1</v>
      </c>
      <c r="B153" t="s">
        <v>435</v>
      </c>
    </row>
    <row r="154" spans="1:2" x14ac:dyDescent="0.3">
      <c r="A154">
        <v>2</v>
      </c>
      <c r="B154" t="s">
        <v>444</v>
      </c>
    </row>
    <row r="155" spans="1:2" x14ac:dyDescent="0.3">
      <c r="A155">
        <v>3</v>
      </c>
      <c r="B155" t="s">
        <v>445</v>
      </c>
    </row>
    <row r="156" spans="1:2" x14ac:dyDescent="0.3">
      <c r="A156">
        <v>4</v>
      </c>
      <c r="B156" t="s">
        <v>436</v>
      </c>
    </row>
    <row r="157" spans="1:2" x14ac:dyDescent="0.3">
      <c r="B157" t="s">
        <v>437</v>
      </c>
    </row>
    <row r="158" spans="1:2" x14ac:dyDescent="0.3">
      <c r="A158">
        <v>5</v>
      </c>
      <c r="B158" t="s">
        <v>446</v>
      </c>
    </row>
    <row r="159" spans="1:2" x14ac:dyDescent="0.3">
      <c r="B159" t="s">
        <v>447</v>
      </c>
    </row>
    <row r="160" spans="1:2" x14ac:dyDescent="0.3">
      <c r="A160">
        <v>6</v>
      </c>
      <c r="B160" t="s">
        <v>442</v>
      </c>
    </row>
    <row r="161" spans="1:1" x14ac:dyDescent="0.3">
      <c r="A161" t="s">
        <v>441</v>
      </c>
    </row>
    <row r="162" spans="1:1" x14ac:dyDescent="0.3">
      <c r="A162" t="s">
        <v>439</v>
      </c>
    </row>
    <row r="164" spans="1:1" x14ac:dyDescent="0.3">
      <c r="A164" t="s">
        <v>449</v>
      </c>
    </row>
    <row r="165" spans="1:1" x14ac:dyDescent="0.3">
      <c r="A165" t="s">
        <v>450</v>
      </c>
    </row>
    <row r="166" spans="1:1" x14ac:dyDescent="0.3">
      <c r="A166" t="s">
        <v>451</v>
      </c>
    </row>
  </sheetData>
  <mergeCells count="1">
    <mergeCell ref="I88:I9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D92FE-D43E-476C-9C65-4810BBF31F79}">
  <dimension ref="A1:U31"/>
  <sheetViews>
    <sheetView topLeftCell="A10" workbookViewId="0">
      <selection activeCell="C15" sqref="C15"/>
    </sheetView>
  </sheetViews>
  <sheetFormatPr defaultRowHeight="14.4" x14ac:dyDescent="0.3"/>
  <cols>
    <col min="1" max="1" width="9.5546875" bestFit="1" customWidth="1"/>
    <col min="2" max="2" width="12.5546875" bestFit="1" customWidth="1"/>
    <col min="3" max="3" width="25.33203125" customWidth="1"/>
    <col min="4" max="6" width="9" bestFit="1" customWidth="1"/>
  </cols>
  <sheetData>
    <row r="1" spans="1:20" x14ac:dyDescent="0.3">
      <c r="A1" s="30" t="s">
        <v>4</v>
      </c>
      <c r="B1" s="31"/>
      <c r="C1" s="31"/>
      <c r="D1" s="31"/>
      <c r="E1" s="31"/>
      <c r="F1" s="31"/>
      <c r="N1" s="30" t="s">
        <v>13</v>
      </c>
      <c r="O1" s="31"/>
      <c r="P1" s="31"/>
      <c r="Q1" s="31"/>
      <c r="R1" s="31"/>
      <c r="S1" s="31"/>
      <c r="T1" s="31"/>
    </row>
    <row r="2" spans="1:20" x14ac:dyDescent="0.3">
      <c r="A2" s="31"/>
      <c r="B2" s="31"/>
      <c r="C2" s="31"/>
      <c r="D2" s="31"/>
      <c r="E2" s="31"/>
      <c r="F2" s="31"/>
      <c r="N2" s="40" t="s">
        <v>67</v>
      </c>
      <c r="O2" s="31"/>
      <c r="P2" s="31"/>
      <c r="Q2" s="31"/>
      <c r="R2" s="31"/>
      <c r="S2" s="31"/>
      <c r="T2" s="31"/>
    </row>
    <row r="3" spans="1:20" x14ac:dyDescent="0.3">
      <c r="A3" s="32" t="s">
        <v>118</v>
      </c>
      <c r="B3" s="31"/>
      <c r="C3" s="31"/>
      <c r="D3" s="31"/>
      <c r="E3" s="31"/>
      <c r="F3" s="31"/>
      <c r="N3" s="40" t="s">
        <v>304</v>
      </c>
      <c r="O3" s="31"/>
      <c r="P3" s="31"/>
      <c r="Q3" s="31"/>
      <c r="R3" s="31"/>
      <c r="S3" s="31"/>
      <c r="T3" s="31"/>
    </row>
    <row r="4" spans="1:20" x14ac:dyDescent="0.3">
      <c r="A4" s="31"/>
      <c r="B4" s="31"/>
      <c r="C4" s="31"/>
      <c r="D4" s="31"/>
      <c r="E4" s="31"/>
      <c r="F4" s="31"/>
      <c r="N4" s="40" t="s">
        <v>14</v>
      </c>
      <c r="O4" s="31"/>
      <c r="P4" s="31"/>
      <c r="Q4" s="31"/>
      <c r="R4" s="31"/>
      <c r="S4" s="31"/>
      <c r="T4" s="31"/>
    </row>
    <row r="5" spans="1:20" x14ac:dyDescent="0.3">
      <c r="A5" s="33" t="s">
        <v>119</v>
      </c>
      <c r="B5" s="31"/>
      <c r="C5" s="31"/>
      <c r="D5" s="31"/>
      <c r="E5" s="31"/>
      <c r="F5" s="31"/>
      <c r="N5" s="31"/>
      <c r="O5" s="31"/>
      <c r="P5" s="31"/>
      <c r="Q5" s="31"/>
      <c r="R5" s="31"/>
      <c r="S5" s="31"/>
      <c r="T5" s="31"/>
    </row>
    <row r="6" spans="1:20" x14ac:dyDescent="0.3">
      <c r="A6" s="33" t="s">
        <v>120</v>
      </c>
      <c r="B6" s="31"/>
      <c r="C6" s="31"/>
      <c r="D6" s="31"/>
      <c r="E6" s="31"/>
      <c r="F6" s="31"/>
      <c r="N6" s="31"/>
      <c r="O6" s="31"/>
      <c r="P6" s="31"/>
      <c r="Q6" s="31"/>
      <c r="R6" s="31"/>
      <c r="S6" s="31"/>
      <c r="T6" s="31"/>
    </row>
    <row r="7" spans="1:20" x14ac:dyDescent="0.3">
      <c r="A7" s="33" t="s">
        <v>315</v>
      </c>
      <c r="B7" s="31"/>
      <c r="C7" s="31"/>
      <c r="D7" s="31"/>
      <c r="E7" s="31"/>
      <c r="F7" s="31"/>
      <c r="N7" s="31"/>
      <c r="O7" s="31"/>
      <c r="P7" s="31"/>
      <c r="Q7" s="31"/>
      <c r="R7" s="31"/>
      <c r="S7" s="31"/>
      <c r="T7" s="31"/>
    </row>
    <row r="8" spans="1:20" x14ac:dyDescent="0.3">
      <c r="A8" s="34"/>
      <c r="B8" s="31"/>
      <c r="C8" s="31"/>
      <c r="D8" s="31"/>
      <c r="E8" s="31"/>
      <c r="F8" s="31"/>
      <c r="N8" s="40" t="s">
        <v>69</v>
      </c>
      <c r="O8" s="31"/>
      <c r="P8" s="31"/>
      <c r="Q8" s="31"/>
      <c r="R8" s="31"/>
      <c r="S8" s="31"/>
      <c r="T8" s="31"/>
    </row>
    <row r="9" spans="1:20" ht="15" thickBot="1" x14ac:dyDescent="0.35">
      <c r="A9" s="5" t="s">
        <v>6</v>
      </c>
      <c r="B9" s="5" t="s">
        <v>7</v>
      </c>
      <c r="C9" s="5" t="s">
        <v>8</v>
      </c>
      <c r="D9" s="5" t="s">
        <v>9</v>
      </c>
      <c r="E9" s="5" t="s">
        <v>10</v>
      </c>
      <c r="F9" s="5" t="s">
        <v>11</v>
      </c>
      <c r="N9" s="12" t="s">
        <v>15</v>
      </c>
      <c r="O9" s="12" t="s">
        <v>16</v>
      </c>
      <c r="P9" s="12" t="s">
        <v>0</v>
      </c>
      <c r="Q9" s="12" t="s">
        <v>17</v>
      </c>
      <c r="R9" s="12" t="s">
        <v>1</v>
      </c>
      <c r="S9" s="12" t="s">
        <v>2</v>
      </c>
      <c r="T9" s="12" t="s">
        <v>3</v>
      </c>
    </row>
    <row r="10" spans="1:20" ht="15" thickBot="1" x14ac:dyDescent="0.35">
      <c r="A10" s="35"/>
      <c r="B10" s="35"/>
      <c r="C10" s="35" t="s">
        <v>12</v>
      </c>
      <c r="D10" s="35"/>
      <c r="E10" s="35"/>
      <c r="F10" s="35">
        <v>46.96</v>
      </c>
      <c r="N10" s="35">
        <v>5817</v>
      </c>
      <c r="O10" s="35" t="s">
        <v>70</v>
      </c>
      <c r="P10" s="35">
        <v>-50</v>
      </c>
      <c r="Q10" s="35">
        <v>50</v>
      </c>
      <c r="R10" s="35">
        <v>0</v>
      </c>
      <c r="S10" s="35">
        <v>0</v>
      </c>
      <c r="T10" s="35">
        <v>0</v>
      </c>
    </row>
    <row r="11" spans="1:20" ht="15" thickBot="1" x14ac:dyDescent="0.35">
      <c r="A11" s="35">
        <v>1444386</v>
      </c>
      <c r="B11" s="36">
        <v>45971</v>
      </c>
      <c r="C11" s="35" t="s">
        <v>305</v>
      </c>
      <c r="D11" s="35"/>
      <c r="E11" s="35">
        <v>50</v>
      </c>
      <c r="F11" s="35">
        <v>96.96</v>
      </c>
      <c r="N11" s="35">
        <v>5819</v>
      </c>
      <c r="O11" s="35" t="s">
        <v>71</v>
      </c>
      <c r="P11" s="35">
        <v>-50</v>
      </c>
      <c r="Q11" s="35">
        <v>50</v>
      </c>
      <c r="R11" s="35">
        <v>0</v>
      </c>
      <c r="S11" s="35">
        <v>50</v>
      </c>
      <c r="T11" s="35">
        <v>-50</v>
      </c>
    </row>
    <row r="12" spans="1:20" ht="15" thickBot="1" x14ac:dyDescent="0.35">
      <c r="A12" s="35">
        <v>1444389</v>
      </c>
      <c r="B12" s="36">
        <v>45971</v>
      </c>
      <c r="C12" s="35" t="s">
        <v>306</v>
      </c>
      <c r="D12" s="35">
        <v>7.51</v>
      </c>
      <c r="E12" s="35"/>
      <c r="F12" s="35">
        <v>89.45</v>
      </c>
      <c r="N12" s="35">
        <v>5820</v>
      </c>
      <c r="O12" s="35" t="s">
        <v>72</v>
      </c>
      <c r="P12" s="35">
        <v>0</v>
      </c>
      <c r="Q12" s="35">
        <v>50</v>
      </c>
      <c r="R12" s="35">
        <v>50</v>
      </c>
      <c r="S12" s="35">
        <v>50</v>
      </c>
      <c r="T12" s="35">
        <v>0</v>
      </c>
    </row>
    <row r="13" spans="1:20" ht="15" thickBot="1" x14ac:dyDescent="0.35">
      <c r="A13" s="35">
        <v>1445542</v>
      </c>
      <c r="B13" s="36">
        <v>45973</v>
      </c>
      <c r="C13" s="35" t="s">
        <v>307</v>
      </c>
      <c r="D13" s="35"/>
      <c r="E13" s="35">
        <v>200</v>
      </c>
      <c r="F13" s="35">
        <v>289.45</v>
      </c>
      <c r="N13" s="35">
        <v>5821</v>
      </c>
      <c r="O13" s="35" t="s">
        <v>73</v>
      </c>
      <c r="P13" s="35">
        <v>20</v>
      </c>
      <c r="Q13" s="35">
        <v>50</v>
      </c>
      <c r="R13" s="35">
        <v>70</v>
      </c>
      <c r="S13" s="35">
        <v>50</v>
      </c>
      <c r="T13" s="35">
        <v>20</v>
      </c>
    </row>
    <row r="14" spans="1:20" ht="15" thickBot="1" x14ac:dyDescent="0.35">
      <c r="A14" s="35">
        <v>1445545</v>
      </c>
      <c r="B14" s="36">
        <v>45973</v>
      </c>
      <c r="C14" s="35" t="s">
        <v>308</v>
      </c>
      <c r="D14" s="35">
        <v>30.02</v>
      </c>
      <c r="E14" s="35"/>
      <c r="F14" s="35">
        <v>259.43</v>
      </c>
      <c r="N14" s="35">
        <v>5822</v>
      </c>
      <c r="O14" s="35" t="s">
        <v>74</v>
      </c>
      <c r="P14" s="35">
        <v>0</v>
      </c>
      <c r="Q14" s="35">
        <v>50</v>
      </c>
      <c r="R14" s="35">
        <v>50</v>
      </c>
      <c r="S14" s="35">
        <v>0</v>
      </c>
      <c r="T14" s="35">
        <v>50</v>
      </c>
    </row>
    <row r="15" spans="1:20" ht="15" thickBot="1" x14ac:dyDescent="0.35">
      <c r="A15" s="35">
        <v>1445788</v>
      </c>
      <c r="B15" s="36">
        <v>45973</v>
      </c>
      <c r="C15" s="35" t="s">
        <v>309</v>
      </c>
      <c r="D15" s="35">
        <v>200</v>
      </c>
      <c r="E15" s="35"/>
      <c r="F15" s="35">
        <v>59.43</v>
      </c>
      <c r="N15" s="35">
        <v>5823</v>
      </c>
      <c r="O15" s="35" t="s">
        <v>75</v>
      </c>
      <c r="P15" s="35">
        <v>110</v>
      </c>
      <c r="Q15" s="35">
        <v>50</v>
      </c>
      <c r="R15" s="35">
        <v>160</v>
      </c>
      <c r="S15" s="35">
        <v>0</v>
      </c>
      <c r="T15" s="35">
        <v>160</v>
      </c>
    </row>
    <row r="16" spans="1:20" ht="15" thickBot="1" x14ac:dyDescent="0.35">
      <c r="A16" s="35">
        <v>1446048</v>
      </c>
      <c r="B16" s="36">
        <v>45974</v>
      </c>
      <c r="C16" s="35" t="s">
        <v>310</v>
      </c>
      <c r="D16" s="35"/>
      <c r="E16" s="35">
        <v>50</v>
      </c>
      <c r="F16" s="35">
        <v>109.43</v>
      </c>
      <c r="N16" s="35">
        <v>5824</v>
      </c>
      <c r="O16" s="35" t="s">
        <v>76</v>
      </c>
      <c r="P16" s="35">
        <v>-50</v>
      </c>
      <c r="Q16" s="35">
        <v>50</v>
      </c>
      <c r="R16" s="35">
        <v>0</v>
      </c>
      <c r="S16" s="35">
        <v>50</v>
      </c>
      <c r="T16" s="35">
        <v>-50</v>
      </c>
    </row>
    <row r="17" spans="1:21" ht="15" thickBot="1" x14ac:dyDescent="0.35">
      <c r="A17" s="35">
        <v>1446051</v>
      </c>
      <c r="B17" s="36">
        <v>45974</v>
      </c>
      <c r="C17" s="35" t="s">
        <v>311</v>
      </c>
      <c r="D17" s="35">
        <v>7.51</v>
      </c>
      <c r="E17" s="35"/>
      <c r="F17" s="35">
        <v>101.92</v>
      </c>
      <c r="N17" s="35">
        <v>5825</v>
      </c>
      <c r="O17" s="35" t="s">
        <v>77</v>
      </c>
      <c r="P17" s="35">
        <v>200</v>
      </c>
      <c r="Q17" s="35">
        <v>50</v>
      </c>
      <c r="R17" s="35">
        <v>250</v>
      </c>
      <c r="S17" s="35">
        <v>200</v>
      </c>
      <c r="T17" s="35">
        <v>50</v>
      </c>
    </row>
    <row r="18" spans="1:21" ht="15" thickBot="1" x14ac:dyDescent="0.35">
      <c r="A18" s="35">
        <v>1447653</v>
      </c>
      <c r="B18" s="36">
        <v>45980</v>
      </c>
      <c r="C18" s="35" t="s">
        <v>177</v>
      </c>
      <c r="D18" s="35">
        <v>50</v>
      </c>
      <c r="E18" s="35"/>
      <c r="F18" s="35">
        <v>51.92</v>
      </c>
      <c r="N18" s="35">
        <v>5826</v>
      </c>
      <c r="O18" s="35" t="s">
        <v>78</v>
      </c>
      <c r="P18" s="35">
        <v>50</v>
      </c>
      <c r="Q18" s="35">
        <v>50</v>
      </c>
      <c r="R18" s="35">
        <v>100</v>
      </c>
      <c r="S18" s="35">
        <v>0</v>
      </c>
      <c r="T18" s="35">
        <v>100</v>
      </c>
    </row>
    <row r="19" spans="1:21" ht="15" thickBot="1" x14ac:dyDescent="0.35">
      <c r="A19" s="35">
        <v>1448865</v>
      </c>
      <c r="B19" s="36">
        <v>45988</v>
      </c>
      <c r="C19" s="35" t="s">
        <v>215</v>
      </c>
      <c r="D19" s="35"/>
      <c r="E19" s="35">
        <v>50</v>
      </c>
      <c r="F19" s="35">
        <v>101.92</v>
      </c>
      <c r="N19" s="35">
        <v>5827</v>
      </c>
      <c r="O19" s="35" t="s">
        <v>79</v>
      </c>
      <c r="P19" s="35">
        <v>-50</v>
      </c>
      <c r="Q19" s="35">
        <v>50</v>
      </c>
      <c r="R19" s="35">
        <v>0</v>
      </c>
      <c r="S19" s="35">
        <v>0</v>
      </c>
      <c r="T19" s="35">
        <v>0</v>
      </c>
    </row>
    <row r="20" spans="1:21" ht="15" thickBot="1" x14ac:dyDescent="0.35">
      <c r="A20" s="35">
        <v>1448868</v>
      </c>
      <c r="B20" s="36">
        <v>45988</v>
      </c>
      <c r="C20" s="35" t="s">
        <v>216</v>
      </c>
      <c r="D20" s="35">
        <v>7.51</v>
      </c>
      <c r="E20" s="35"/>
      <c r="F20" s="35">
        <v>94.41</v>
      </c>
      <c r="N20" s="35">
        <v>5828</v>
      </c>
      <c r="O20" s="35" t="s">
        <v>80</v>
      </c>
      <c r="P20" s="35">
        <v>30</v>
      </c>
      <c r="Q20" s="35">
        <v>50</v>
      </c>
      <c r="R20" s="35">
        <v>80</v>
      </c>
      <c r="S20" s="35">
        <v>0</v>
      </c>
      <c r="T20" s="35">
        <v>80</v>
      </c>
    </row>
    <row r="21" spans="1:21" ht="15" thickBot="1" x14ac:dyDescent="0.35">
      <c r="A21" s="35">
        <v>1448872</v>
      </c>
      <c r="B21" s="36">
        <v>45988</v>
      </c>
      <c r="C21" s="35" t="s">
        <v>312</v>
      </c>
      <c r="D21" s="35"/>
      <c r="E21" s="35">
        <v>50</v>
      </c>
      <c r="F21" s="35">
        <v>144.41</v>
      </c>
      <c r="N21" s="38">
        <v>5829</v>
      </c>
      <c r="O21" s="38" t="s">
        <v>81</v>
      </c>
      <c r="P21" s="38">
        <v>0</v>
      </c>
      <c r="Q21" s="38">
        <v>50</v>
      </c>
      <c r="R21" s="38">
        <v>50</v>
      </c>
      <c r="S21" s="38">
        <v>0</v>
      </c>
      <c r="T21" s="38">
        <v>50</v>
      </c>
    </row>
    <row r="22" spans="1:21" ht="15" thickBot="1" x14ac:dyDescent="0.35">
      <c r="A22" s="35">
        <v>1448875</v>
      </c>
      <c r="B22" s="36">
        <v>45988</v>
      </c>
      <c r="C22" s="35" t="s">
        <v>313</v>
      </c>
      <c r="D22" s="35">
        <v>7.51</v>
      </c>
      <c r="E22" s="35"/>
      <c r="F22" s="35">
        <v>136.9</v>
      </c>
      <c r="N22" s="35">
        <v>5830</v>
      </c>
      <c r="O22" s="35" t="s">
        <v>82</v>
      </c>
      <c r="P22" s="35">
        <v>-50</v>
      </c>
      <c r="Q22" s="35">
        <v>50</v>
      </c>
      <c r="R22" s="35">
        <v>0</v>
      </c>
      <c r="S22" s="35">
        <v>50</v>
      </c>
      <c r="T22" s="35">
        <v>-50</v>
      </c>
    </row>
    <row r="23" spans="1:21" ht="15" thickBot="1" x14ac:dyDescent="0.35">
      <c r="A23" s="35">
        <v>1448879</v>
      </c>
      <c r="B23" s="36">
        <v>45988</v>
      </c>
      <c r="C23" s="35" t="s">
        <v>217</v>
      </c>
      <c r="D23" s="35"/>
      <c r="E23" s="35">
        <v>50</v>
      </c>
      <c r="F23" s="35">
        <v>186.9</v>
      </c>
      <c r="N23" s="35">
        <v>5831</v>
      </c>
      <c r="O23" s="35" t="s">
        <v>83</v>
      </c>
      <c r="P23" s="35">
        <v>-50</v>
      </c>
      <c r="Q23" s="35">
        <v>50</v>
      </c>
      <c r="R23" s="35">
        <v>0</v>
      </c>
      <c r="S23" s="35">
        <v>50</v>
      </c>
      <c r="T23" s="35">
        <v>-50</v>
      </c>
    </row>
    <row r="24" spans="1:21" ht="15" thickBot="1" x14ac:dyDescent="0.35">
      <c r="A24" s="35">
        <v>1448882</v>
      </c>
      <c r="B24" s="36">
        <v>45988</v>
      </c>
      <c r="C24" s="35" t="s">
        <v>218</v>
      </c>
      <c r="D24" s="35">
        <v>7.51</v>
      </c>
      <c r="E24" s="35"/>
      <c r="F24" s="35">
        <v>179.39</v>
      </c>
      <c r="N24" s="35">
        <v>5832</v>
      </c>
      <c r="O24" s="35" t="s">
        <v>84</v>
      </c>
      <c r="P24" s="35">
        <v>-50</v>
      </c>
      <c r="Q24" s="35">
        <v>50</v>
      </c>
      <c r="R24" s="35">
        <v>0</v>
      </c>
      <c r="S24" s="35">
        <v>50</v>
      </c>
      <c r="T24" s="35">
        <v>-50</v>
      </c>
    </row>
    <row r="25" spans="1:21" ht="15" thickBot="1" x14ac:dyDescent="0.35">
      <c r="A25" s="35">
        <v>1448886</v>
      </c>
      <c r="B25" s="36">
        <v>45988</v>
      </c>
      <c r="C25" s="35" t="s">
        <v>267</v>
      </c>
      <c r="D25" s="35"/>
      <c r="E25" s="35">
        <v>50</v>
      </c>
      <c r="F25" s="35">
        <v>229.39</v>
      </c>
      <c r="N25" s="35">
        <v>5833</v>
      </c>
      <c r="O25" s="35" t="s">
        <v>85</v>
      </c>
      <c r="P25" s="35">
        <v>-50</v>
      </c>
      <c r="Q25" s="35">
        <v>50</v>
      </c>
      <c r="R25" s="35">
        <v>0</v>
      </c>
      <c r="S25" s="35">
        <v>0</v>
      </c>
      <c r="T25" s="35">
        <v>0</v>
      </c>
    </row>
    <row r="26" spans="1:21" ht="15" thickBot="1" x14ac:dyDescent="0.35">
      <c r="A26" s="38">
        <v>1448889</v>
      </c>
      <c r="B26" s="39">
        <v>45988</v>
      </c>
      <c r="C26" s="38" t="s">
        <v>268</v>
      </c>
      <c r="D26" s="38">
        <v>7.51</v>
      </c>
      <c r="E26" s="38"/>
      <c r="F26" s="38">
        <v>221.88</v>
      </c>
      <c r="N26" s="35">
        <v>5834</v>
      </c>
      <c r="O26" s="35" t="s">
        <v>86</v>
      </c>
      <c r="P26" s="35">
        <v>-100</v>
      </c>
      <c r="Q26" s="35">
        <v>50</v>
      </c>
      <c r="R26" s="35">
        <v>-50</v>
      </c>
      <c r="S26" s="35">
        <v>0</v>
      </c>
      <c r="T26" s="35">
        <v>-50</v>
      </c>
    </row>
    <row r="27" spans="1:21" ht="15" thickBot="1" x14ac:dyDescent="0.35">
      <c r="A27" s="35">
        <v>1448893</v>
      </c>
      <c r="B27" s="36">
        <v>45988</v>
      </c>
      <c r="C27" s="35" t="s">
        <v>253</v>
      </c>
      <c r="D27" s="35"/>
      <c r="E27" s="35">
        <v>50</v>
      </c>
      <c r="F27" s="35">
        <v>271.88</v>
      </c>
      <c r="N27" s="35"/>
      <c r="O27" s="35"/>
      <c r="P27" s="41">
        <v>-90</v>
      </c>
      <c r="Q27" s="41">
        <v>850</v>
      </c>
      <c r="R27" s="41">
        <v>760</v>
      </c>
      <c r="S27" s="41">
        <v>550</v>
      </c>
      <c r="T27" s="41">
        <v>210</v>
      </c>
      <c r="U27">
        <f>T11+T16+T22+T23+T24+T26</f>
        <v>-300</v>
      </c>
    </row>
    <row r="28" spans="1:21" ht="15" thickBot="1" x14ac:dyDescent="0.35">
      <c r="A28" s="35">
        <v>1448896</v>
      </c>
      <c r="B28" s="36">
        <v>45988</v>
      </c>
      <c r="C28" s="35" t="s">
        <v>254</v>
      </c>
      <c r="D28" s="35">
        <v>7.51</v>
      </c>
      <c r="E28" s="35"/>
      <c r="F28" s="35">
        <v>264.37</v>
      </c>
      <c r="T28">
        <f>U27*-1</f>
        <v>300</v>
      </c>
    </row>
    <row r="29" spans="1:21" ht="15" thickBot="1" x14ac:dyDescent="0.35">
      <c r="A29" s="35">
        <v>1450900</v>
      </c>
      <c r="B29" s="36">
        <v>45989</v>
      </c>
      <c r="C29" s="35" t="s">
        <v>314</v>
      </c>
      <c r="D29" s="35">
        <v>60</v>
      </c>
      <c r="E29" s="35"/>
      <c r="F29" s="35">
        <v>204.37</v>
      </c>
      <c r="T29">
        <f>T27+T28</f>
        <v>510</v>
      </c>
    </row>
    <row r="30" spans="1:21" ht="15" thickBot="1" x14ac:dyDescent="0.35">
      <c r="A30" s="35">
        <v>1451086</v>
      </c>
      <c r="B30" s="36">
        <v>45989</v>
      </c>
      <c r="C30" s="35" t="s">
        <v>87</v>
      </c>
      <c r="D30" s="35">
        <v>543</v>
      </c>
      <c r="E30" s="35"/>
      <c r="F30" s="35">
        <v>-338.63</v>
      </c>
    </row>
    <row r="31" spans="1:21" x14ac:dyDescent="0.3">
      <c r="A31" s="35"/>
      <c r="B31" s="35"/>
      <c r="C31" s="35"/>
      <c r="D31" s="37">
        <v>935.59</v>
      </c>
      <c r="E31" s="37">
        <v>550</v>
      </c>
      <c r="F31" s="37">
        <v>-338.63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79125-AE07-4DCC-A87E-7DDB24ED4B24}">
  <dimension ref="A1:X67"/>
  <sheetViews>
    <sheetView topLeftCell="D53" workbookViewId="0">
      <selection activeCell="V27" sqref="V27"/>
    </sheetView>
  </sheetViews>
  <sheetFormatPr defaultRowHeight="14.4" x14ac:dyDescent="0.3"/>
  <cols>
    <col min="1" max="1" width="9.5546875" bestFit="1" customWidth="1"/>
    <col min="2" max="2" width="12.5546875" bestFit="1" customWidth="1"/>
    <col min="3" max="3" width="38.77734375" customWidth="1"/>
    <col min="4" max="6" width="9" bestFit="1" customWidth="1"/>
  </cols>
  <sheetData>
    <row r="1" spans="1:23" x14ac:dyDescent="0.3">
      <c r="A1" s="30" t="s">
        <v>4</v>
      </c>
      <c r="B1" s="31"/>
      <c r="C1" s="31"/>
      <c r="D1" s="31"/>
      <c r="E1" s="31"/>
      <c r="F1" s="31"/>
      <c r="I1" s="30" t="s">
        <v>4</v>
      </c>
      <c r="J1" s="31"/>
      <c r="K1" s="31"/>
      <c r="L1" s="31"/>
      <c r="M1" s="31"/>
      <c r="N1" s="31"/>
      <c r="Q1" s="30" t="s">
        <v>13</v>
      </c>
      <c r="R1" s="31"/>
      <c r="S1" s="31"/>
      <c r="T1" s="31"/>
      <c r="U1" s="31"/>
      <c r="V1" s="31"/>
      <c r="W1" s="31"/>
    </row>
    <row r="2" spans="1:23" x14ac:dyDescent="0.3">
      <c r="A2" s="31"/>
      <c r="B2" s="31"/>
      <c r="C2" s="31"/>
      <c r="D2" s="31"/>
      <c r="E2" s="31"/>
      <c r="F2" s="31"/>
      <c r="I2" s="31"/>
      <c r="J2" s="31"/>
      <c r="K2" s="31"/>
      <c r="L2" s="31"/>
      <c r="M2" s="31"/>
      <c r="N2" s="31"/>
      <c r="Q2" s="40" t="s">
        <v>67</v>
      </c>
      <c r="R2" s="31"/>
      <c r="S2" s="31"/>
      <c r="T2" s="31"/>
      <c r="U2" s="31"/>
      <c r="V2" s="31"/>
      <c r="W2" s="31"/>
    </row>
    <row r="3" spans="1:23" x14ac:dyDescent="0.3">
      <c r="A3" s="32" t="s">
        <v>118</v>
      </c>
      <c r="B3" s="31"/>
      <c r="C3" s="31"/>
      <c r="D3" s="31"/>
      <c r="E3" s="31"/>
      <c r="F3" s="31"/>
      <c r="I3" s="32" t="s">
        <v>118</v>
      </c>
      <c r="J3" s="31"/>
      <c r="K3" s="31"/>
      <c r="L3" s="31"/>
      <c r="M3" s="31"/>
      <c r="N3" s="31"/>
      <c r="Q3" s="40" t="s">
        <v>303</v>
      </c>
      <c r="R3" s="31"/>
      <c r="S3" s="31"/>
      <c r="T3" s="31"/>
      <c r="U3" s="31"/>
      <c r="V3" s="31"/>
      <c r="W3" s="31"/>
    </row>
    <row r="4" spans="1:23" x14ac:dyDescent="0.3">
      <c r="A4" s="31"/>
      <c r="B4" s="31"/>
      <c r="C4" s="31"/>
      <c r="D4" s="31"/>
      <c r="E4" s="31"/>
      <c r="F4" s="31"/>
      <c r="I4" s="31"/>
      <c r="J4" s="31"/>
      <c r="K4" s="31"/>
      <c r="L4" s="31"/>
      <c r="M4" s="31"/>
      <c r="N4" s="31"/>
      <c r="Q4" s="40" t="s">
        <v>14</v>
      </c>
      <c r="R4" s="31"/>
      <c r="S4" s="31"/>
      <c r="T4" s="31"/>
      <c r="U4" s="31"/>
      <c r="V4" s="31"/>
      <c r="W4" s="31"/>
    </row>
    <row r="5" spans="1:23" x14ac:dyDescent="0.3">
      <c r="A5" s="33" t="s">
        <v>119</v>
      </c>
      <c r="B5" s="31"/>
      <c r="C5" s="31"/>
      <c r="D5" s="31"/>
      <c r="E5" s="31"/>
      <c r="F5" s="31"/>
      <c r="I5" s="33" t="s">
        <v>279</v>
      </c>
      <c r="J5" s="31"/>
      <c r="K5" s="31"/>
      <c r="L5" s="31"/>
      <c r="M5" s="31"/>
      <c r="N5" s="31"/>
      <c r="Q5" s="31"/>
      <c r="R5" s="31"/>
      <c r="S5" s="31"/>
      <c r="T5" s="31"/>
      <c r="U5" s="31"/>
      <c r="V5" s="31"/>
      <c r="W5" s="31"/>
    </row>
    <row r="6" spans="1:23" x14ac:dyDescent="0.3">
      <c r="A6" s="33" t="s">
        <v>120</v>
      </c>
      <c r="B6" s="31"/>
      <c r="C6" s="31"/>
      <c r="D6" s="31"/>
      <c r="E6" s="31"/>
      <c r="F6" s="31"/>
      <c r="I6" s="33" t="s">
        <v>280</v>
      </c>
      <c r="J6" s="31"/>
      <c r="K6" s="31"/>
      <c r="L6" s="31"/>
      <c r="M6" s="31"/>
      <c r="N6" s="31"/>
      <c r="Q6" s="31"/>
      <c r="R6" s="31"/>
      <c r="S6" s="31"/>
      <c r="T6" s="31"/>
      <c r="U6" s="31"/>
      <c r="V6" s="31"/>
      <c r="W6" s="31"/>
    </row>
    <row r="7" spans="1:23" x14ac:dyDescent="0.3">
      <c r="A7" s="33" t="s">
        <v>302</v>
      </c>
      <c r="B7" s="31"/>
      <c r="C7" s="31"/>
      <c r="D7" s="31"/>
      <c r="E7" s="31"/>
      <c r="F7" s="31"/>
      <c r="I7" s="33" t="s">
        <v>302</v>
      </c>
      <c r="J7" s="31"/>
      <c r="K7" s="31"/>
      <c r="L7" s="31"/>
      <c r="M7" s="31"/>
      <c r="N7" s="31"/>
      <c r="Q7" s="31"/>
      <c r="R7" s="31"/>
      <c r="S7" s="31"/>
      <c r="T7" s="31"/>
      <c r="U7" s="31"/>
      <c r="V7" s="31"/>
      <c r="W7" s="31"/>
    </row>
    <row r="8" spans="1:23" x14ac:dyDescent="0.3">
      <c r="A8" s="34"/>
      <c r="B8" s="31"/>
      <c r="C8" s="31"/>
      <c r="D8" s="31"/>
      <c r="E8" s="31"/>
      <c r="F8" s="31"/>
      <c r="I8" s="34"/>
      <c r="J8" s="31"/>
      <c r="K8" s="31"/>
      <c r="L8" s="31"/>
      <c r="M8" s="31"/>
      <c r="N8" s="31"/>
      <c r="Q8" s="40" t="s">
        <v>69</v>
      </c>
      <c r="R8" s="31"/>
      <c r="S8" s="31"/>
      <c r="T8" s="31"/>
      <c r="U8" s="31"/>
      <c r="V8" s="31"/>
      <c r="W8" s="31"/>
    </row>
    <row r="9" spans="1:23" ht="15" thickBot="1" x14ac:dyDescent="0.35">
      <c r="A9" s="5" t="s">
        <v>6</v>
      </c>
      <c r="B9" s="5" t="s">
        <v>7</v>
      </c>
      <c r="C9" s="5" t="s">
        <v>8</v>
      </c>
      <c r="D9" s="5" t="s">
        <v>9</v>
      </c>
      <c r="E9" s="5" t="s">
        <v>10</v>
      </c>
      <c r="F9" s="5" t="s">
        <v>11</v>
      </c>
      <c r="I9" s="5" t="s">
        <v>6</v>
      </c>
      <c r="J9" s="5" t="s">
        <v>7</v>
      </c>
      <c r="K9" s="5" t="s">
        <v>8</v>
      </c>
      <c r="L9" s="5" t="s">
        <v>9</v>
      </c>
      <c r="M9" s="5" t="s">
        <v>10</v>
      </c>
      <c r="N9" s="5" t="s">
        <v>11</v>
      </c>
      <c r="Q9" s="12" t="s">
        <v>15</v>
      </c>
      <c r="R9" s="12" t="s">
        <v>16</v>
      </c>
      <c r="S9" s="12" t="s">
        <v>0</v>
      </c>
      <c r="T9" s="12" t="s">
        <v>17</v>
      </c>
      <c r="U9" s="12" t="s">
        <v>1</v>
      </c>
      <c r="V9" s="12" t="s">
        <v>2</v>
      </c>
      <c r="W9" s="12" t="s">
        <v>3</v>
      </c>
    </row>
    <row r="10" spans="1:23" ht="15" thickBot="1" x14ac:dyDescent="0.35">
      <c r="A10" s="35"/>
      <c r="B10" s="35"/>
      <c r="C10" s="35" t="s">
        <v>12</v>
      </c>
      <c r="D10" s="35"/>
      <c r="E10" s="35"/>
      <c r="F10" s="35">
        <v>-358.6</v>
      </c>
      <c r="I10" s="35"/>
      <c r="J10" s="35"/>
      <c r="K10" s="35" t="s">
        <v>12</v>
      </c>
      <c r="L10" s="35"/>
      <c r="M10" s="35"/>
      <c r="N10" s="35">
        <v>0</v>
      </c>
      <c r="Q10" s="35">
        <v>5817</v>
      </c>
      <c r="R10" s="35" t="s">
        <v>70</v>
      </c>
      <c r="S10" s="35">
        <v>0</v>
      </c>
      <c r="T10" s="35">
        <v>50</v>
      </c>
      <c r="U10" s="35">
        <v>50</v>
      </c>
      <c r="V10" s="35">
        <v>100</v>
      </c>
      <c r="W10" s="35">
        <v>-50</v>
      </c>
    </row>
    <row r="11" spans="1:23" ht="15" thickBot="1" x14ac:dyDescent="0.35">
      <c r="A11" s="35">
        <v>1428579</v>
      </c>
      <c r="B11" s="36">
        <v>45931</v>
      </c>
      <c r="C11" s="35" t="s">
        <v>282</v>
      </c>
      <c r="D11" s="35"/>
      <c r="E11" s="35">
        <v>50</v>
      </c>
      <c r="F11" s="35">
        <v>-308.60000000000002</v>
      </c>
      <c r="I11" s="35"/>
      <c r="J11" s="35"/>
      <c r="K11" s="35"/>
      <c r="L11" s="37">
        <v>0</v>
      </c>
      <c r="M11" s="37">
        <v>0</v>
      </c>
      <c r="N11" s="37">
        <v>0</v>
      </c>
      <c r="Q11" s="35">
        <v>5819</v>
      </c>
      <c r="R11" s="35" t="s">
        <v>71</v>
      </c>
      <c r="S11" s="35">
        <v>0</v>
      </c>
      <c r="T11" s="35">
        <v>50</v>
      </c>
      <c r="U11" s="35">
        <v>50</v>
      </c>
      <c r="V11" s="35">
        <v>100</v>
      </c>
      <c r="W11" s="35">
        <v>-50</v>
      </c>
    </row>
    <row r="12" spans="1:23" ht="15" thickBot="1" x14ac:dyDescent="0.35">
      <c r="A12" s="35">
        <v>1428582</v>
      </c>
      <c r="B12" s="36">
        <v>45931</v>
      </c>
      <c r="C12" s="35" t="s">
        <v>283</v>
      </c>
      <c r="D12" s="35">
        <v>7.51</v>
      </c>
      <c r="E12" s="35"/>
      <c r="F12" s="35">
        <v>-316.11</v>
      </c>
      <c r="Q12" s="35">
        <v>5820</v>
      </c>
      <c r="R12" s="35" t="s">
        <v>72</v>
      </c>
      <c r="S12" s="35">
        <v>0</v>
      </c>
      <c r="T12" s="35">
        <v>50</v>
      </c>
      <c r="U12" s="35">
        <v>50</v>
      </c>
      <c r="V12" s="35">
        <v>50</v>
      </c>
      <c r="W12" s="35">
        <v>0</v>
      </c>
    </row>
    <row r="13" spans="1:23" ht="15" thickBot="1" x14ac:dyDescent="0.35">
      <c r="A13" s="35">
        <v>1430381</v>
      </c>
      <c r="B13" s="36">
        <v>45933</v>
      </c>
      <c r="C13" s="35" t="s">
        <v>223</v>
      </c>
      <c r="D13" s="35"/>
      <c r="E13" s="35">
        <v>50</v>
      </c>
      <c r="F13" s="35">
        <v>-266.11</v>
      </c>
      <c r="Q13" s="35">
        <v>5821</v>
      </c>
      <c r="R13" s="35" t="s">
        <v>73</v>
      </c>
      <c r="S13" s="35">
        <v>20</v>
      </c>
      <c r="T13" s="35">
        <v>50</v>
      </c>
      <c r="U13" s="35">
        <v>70</v>
      </c>
      <c r="V13" s="35">
        <v>50</v>
      </c>
      <c r="W13" s="35">
        <v>20</v>
      </c>
    </row>
    <row r="14" spans="1:23" ht="15" thickBot="1" x14ac:dyDescent="0.35">
      <c r="A14" s="35">
        <v>1430384</v>
      </c>
      <c r="B14" s="36">
        <v>45933</v>
      </c>
      <c r="C14" s="35" t="s">
        <v>224</v>
      </c>
      <c r="D14" s="35">
        <v>7.51</v>
      </c>
      <c r="E14" s="35"/>
      <c r="F14" s="35">
        <v>-273.62</v>
      </c>
      <c r="Q14" s="35">
        <v>5822</v>
      </c>
      <c r="R14" s="35" t="s">
        <v>74</v>
      </c>
      <c r="S14" s="35">
        <v>150</v>
      </c>
      <c r="T14" s="35">
        <v>50</v>
      </c>
      <c r="U14" s="35">
        <v>200</v>
      </c>
      <c r="V14" s="35">
        <v>200</v>
      </c>
      <c r="W14" s="35">
        <v>0</v>
      </c>
    </row>
    <row r="15" spans="1:23" ht="15" thickBot="1" x14ac:dyDescent="0.35">
      <c r="A15" s="35">
        <v>1430388</v>
      </c>
      <c r="B15" s="36">
        <v>45933</v>
      </c>
      <c r="C15" s="35" t="s">
        <v>219</v>
      </c>
      <c r="D15" s="35"/>
      <c r="E15" s="35">
        <v>50</v>
      </c>
      <c r="F15" s="35">
        <v>-223.62</v>
      </c>
      <c r="Q15" s="35">
        <v>5823</v>
      </c>
      <c r="R15" s="35" t="s">
        <v>75</v>
      </c>
      <c r="S15" s="35">
        <v>110</v>
      </c>
      <c r="T15" s="35">
        <v>50</v>
      </c>
      <c r="U15" s="35">
        <v>160</v>
      </c>
      <c r="V15" s="35">
        <v>50</v>
      </c>
      <c r="W15" s="35">
        <v>110</v>
      </c>
    </row>
    <row r="16" spans="1:23" ht="15" thickBot="1" x14ac:dyDescent="0.35">
      <c r="A16" s="35">
        <v>1430391</v>
      </c>
      <c r="B16" s="36">
        <v>45933</v>
      </c>
      <c r="C16" s="35" t="s">
        <v>220</v>
      </c>
      <c r="D16" s="35">
        <v>7.51</v>
      </c>
      <c r="E16" s="35"/>
      <c r="F16" s="35">
        <v>-231.13</v>
      </c>
      <c r="Q16" s="35">
        <v>5824</v>
      </c>
      <c r="R16" s="35" t="s">
        <v>76</v>
      </c>
      <c r="S16" s="35">
        <v>0</v>
      </c>
      <c r="T16" s="35">
        <v>50</v>
      </c>
      <c r="U16" s="35">
        <v>50</v>
      </c>
      <c r="V16" s="35">
        <v>100</v>
      </c>
      <c r="W16" s="35">
        <v>-50</v>
      </c>
    </row>
    <row r="17" spans="1:24" ht="15" thickBot="1" x14ac:dyDescent="0.35">
      <c r="A17" s="35">
        <v>1430395</v>
      </c>
      <c r="B17" s="36">
        <v>45933</v>
      </c>
      <c r="C17" s="35" t="s">
        <v>261</v>
      </c>
      <c r="D17" s="35"/>
      <c r="E17" s="35">
        <v>100</v>
      </c>
      <c r="F17" s="35">
        <v>-131.13</v>
      </c>
      <c r="Q17" s="35">
        <v>5825</v>
      </c>
      <c r="R17" s="35" t="s">
        <v>77</v>
      </c>
      <c r="S17" s="35">
        <v>150</v>
      </c>
      <c r="T17" s="35">
        <v>50</v>
      </c>
      <c r="U17" s="35">
        <v>200</v>
      </c>
      <c r="V17" s="35">
        <v>0</v>
      </c>
      <c r="W17" s="35">
        <v>200</v>
      </c>
    </row>
    <row r="18" spans="1:24" ht="15" thickBot="1" x14ac:dyDescent="0.35">
      <c r="A18" s="35">
        <v>1430398</v>
      </c>
      <c r="B18" s="36">
        <v>45933</v>
      </c>
      <c r="C18" s="35" t="s">
        <v>262</v>
      </c>
      <c r="D18" s="35">
        <v>15.01</v>
      </c>
      <c r="E18" s="35"/>
      <c r="F18" s="35">
        <v>-146.13999999999999</v>
      </c>
      <c r="Q18" s="35">
        <v>5826</v>
      </c>
      <c r="R18" s="35" t="s">
        <v>78</v>
      </c>
      <c r="S18" s="35">
        <v>100</v>
      </c>
      <c r="T18" s="35">
        <v>50</v>
      </c>
      <c r="U18" s="35">
        <v>150</v>
      </c>
      <c r="V18" s="35">
        <v>100</v>
      </c>
      <c r="W18" s="35">
        <v>50</v>
      </c>
    </row>
    <row r="19" spans="1:24" ht="15" thickBot="1" x14ac:dyDescent="0.35">
      <c r="A19" s="35">
        <v>1430402</v>
      </c>
      <c r="B19" s="36">
        <v>45933</v>
      </c>
      <c r="C19" s="35" t="s">
        <v>221</v>
      </c>
      <c r="D19" s="35"/>
      <c r="E19" s="35">
        <v>50</v>
      </c>
      <c r="F19" s="35">
        <v>-96.14</v>
      </c>
      <c r="Q19" s="35">
        <v>5827</v>
      </c>
      <c r="R19" s="35" t="s">
        <v>79</v>
      </c>
      <c r="S19" s="35">
        <v>50</v>
      </c>
      <c r="T19" s="35">
        <v>50</v>
      </c>
      <c r="U19" s="35">
        <v>100</v>
      </c>
      <c r="V19" s="35">
        <v>150</v>
      </c>
      <c r="W19" s="35">
        <v>-50</v>
      </c>
    </row>
    <row r="20" spans="1:24" ht="15" thickBot="1" x14ac:dyDescent="0.35">
      <c r="A20" s="35">
        <v>1430405</v>
      </c>
      <c r="B20" s="36">
        <v>45933</v>
      </c>
      <c r="C20" s="35" t="s">
        <v>222</v>
      </c>
      <c r="D20" s="35">
        <v>7.51</v>
      </c>
      <c r="E20" s="35"/>
      <c r="F20" s="35">
        <v>-103.65</v>
      </c>
      <c r="Q20" s="35">
        <v>5828</v>
      </c>
      <c r="R20" s="35" t="s">
        <v>80</v>
      </c>
      <c r="S20" s="35">
        <v>0</v>
      </c>
      <c r="T20" s="35">
        <v>50</v>
      </c>
      <c r="U20" s="35">
        <v>50</v>
      </c>
      <c r="V20" s="35">
        <v>20</v>
      </c>
      <c r="W20" s="35">
        <v>30</v>
      </c>
    </row>
    <row r="21" spans="1:24" ht="15" thickBot="1" x14ac:dyDescent="0.35">
      <c r="A21" s="35">
        <v>1430409</v>
      </c>
      <c r="B21" s="36">
        <v>45933</v>
      </c>
      <c r="C21" s="35" t="s">
        <v>263</v>
      </c>
      <c r="D21" s="35"/>
      <c r="E21" s="35">
        <v>50</v>
      </c>
      <c r="F21" s="35">
        <v>-53.65</v>
      </c>
      <c r="Q21" s="38">
        <v>5829</v>
      </c>
      <c r="R21" s="38" t="s">
        <v>81</v>
      </c>
      <c r="S21" s="38">
        <v>-50</v>
      </c>
      <c r="T21" s="38">
        <v>50</v>
      </c>
      <c r="U21" s="38">
        <v>0</v>
      </c>
      <c r="V21" s="38">
        <v>0</v>
      </c>
      <c r="W21" s="38">
        <v>0</v>
      </c>
    </row>
    <row r="22" spans="1:24" ht="15" thickBot="1" x14ac:dyDescent="0.35">
      <c r="A22" s="35">
        <v>1430412</v>
      </c>
      <c r="B22" s="36">
        <v>45933</v>
      </c>
      <c r="C22" s="35" t="s">
        <v>264</v>
      </c>
      <c r="D22" s="35">
        <v>7.51</v>
      </c>
      <c r="E22" s="35"/>
      <c r="F22" s="35">
        <v>-61.16</v>
      </c>
      <c r="Q22" s="35">
        <v>5830</v>
      </c>
      <c r="R22" s="35" t="s">
        <v>82</v>
      </c>
      <c r="S22" s="35">
        <v>0</v>
      </c>
      <c r="T22" s="35">
        <v>50</v>
      </c>
      <c r="U22" s="35">
        <v>50</v>
      </c>
      <c r="V22" s="35">
        <v>100</v>
      </c>
      <c r="W22" s="35">
        <v>-50</v>
      </c>
    </row>
    <row r="23" spans="1:24" ht="15" thickBot="1" x14ac:dyDescent="0.35">
      <c r="A23" s="35">
        <v>1430416</v>
      </c>
      <c r="B23" s="36">
        <v>45933</v>
      </c>
      <c r="C23" s="35" t="s">
        <v>284</v>
      </c>
      <c r="D23" s="35"/>
      <c r="E23" s="35">
        <v>50</v>
      </c>
      <c r="F23" s="35">
        <v>-11.16</v>
      </c>
      <c r="Q23" s="35">
        <v>5831</v>
      </c>
      <c r="R23" s="35" t="s">
        <v>83</v>
      </c>
      <c r="S23" s="35">
        <v>0</v>
      </c>
      <c r="T23" s="35">
        <v>50</v>
      </c>
      <c r="U23" s="35">
        <v>50</v>
      </c>
      <c r="V23" s="35">
        <v>100</v>
      </c>
      <c r="W23" s="35">
        <v>-50</v>
      </c>
    </row>
    <row r="24" spans="1:24" ht="15" thickBot="1" x14ac:dyDescent="0.35">
      <c r="A24" s="35">
        <v>1430419</v>
      </c>
      <c r="B24" s="36">
        <v>45933</v>
      </c>
      <c r="C24" s="35" t="s">
        <v>285</v>
      </c>
      <c r="D24" s="35">
        <v>7.51</v>
      </c>
      <c r="E24" s="35"/>
      <c r="F24" s="35">
        <v>-18.670000000000002</v>
      </c>
      <c r="Q24" s="35">
        <v>5832</v>
      </c>
      <c r="R24" s="35" t="s">
        <v>84</v>
      </c>
      <c r="S24" s="35">
        <v>0</v>
      </c>
      <c r="T24" s="35">
        <v>50</v>
      </c>
      <c r="U24" s="35">
        <v>50</v>
      </c>
      <c r="V24" s="35">
        <v>100</v>
      </c>
      <c r="W24" s="35">
        <v>-50</v>
      </c>
    </row>
    <row r="25" spans="1:24" ht="15" thickBot="1" x14ac:dyDescent="0.35">
      <c r="A25" s="35">
        <v>1430423</v>
      </c>
      <c r="B25" s="36">
        <v>45933</v>
      </c>
      <c r="C25" s="35" t="s">
        <v>227</v>
      </c>
      <c r="D25" s="35"/>
      <c r="E25" s="35">
        <v>50</v>
      </c>
      <c r="F25" s="35">
        <v>31.33</v>
      </c>
      <c r="Q25" s="35">
        <v>5833</v>
      </c>
      <c r="R25" s="35" t="s">
        <v>85</v>
      </c>
      <c r="S25" s="35">
        <v>0</v>
      </c>
      <c r="T25" s="35">
        <v>50</v>
      </c>
      <c r="U25" s="35">
        <v>50</v>
      </c>
      <c r="V25" s="35">
        <v>100</v>
      </c>
      <c r="W25" s="35">
        <v>-50</v>
      </c>
    </row>
    <row r="26" spans="1:24" ht="15" thickBot="1" x14ac:dyDescent="0.35">
      <c r="A26" s="35">
        <v>1430426</v>
      </c>
      <c r="B26" s="36">
        <v>45933</v>
      </c>
      <c r="C26" s="35" t="s">
        <v>228</v>
      </c>
      <c r="D26" s="35">
        <v>7.51</v>
      </c>
      <c r="E26" s="35"/>
      <c r="F26" s="35">
        <v>23.82</v>
      </c>
      <c r="Q26" s="35">
        <v>5834</v>
      </c>
      <c r="R26" s="35" t="s">
        <v>86</v>
      </c>
      <c r="S26" s="35">
        <v>0</v>
      </c>
      <c r="T26" s="35">
        <v>50</v>
      </c>
      <c r="U26" s="35">
        <v>50</v>
      </c>
      <c r="V26" s="35">
        <v>150</v>
      </c>
      <c r="W26" s="35">
        <v>-100</v>
      </c>
    </row>
    <row r="27" spans="1:24" ht="15" thickBot="1" x14ac:dyDescent="0.35">
      <c r="A27" s="35">
        <v>1430430</v>
      </c>
      <c r="B27" s="36">
        <v>45933</v>
      </c>
      <c r="C27" s="35" t="s">
        <v>225</v>
      </c>
      <c r="D27" s="35"/>
      <c r="E27" s="35">
        <v>50</v>
      </c>
      <c r="F27" s="35">
        <v>73.819999999999993</v>
      </c>
      <c r="Q27" s="35"/>
      <c r="R27" s="35"/>
      <c r="S27" s="41">
        <v>530</v>
      </c>
      <c r="T27" s="41">
        <v>850</v>
      </c>
      <c r="U27" s="41">
        <v>1380</v>
      </c>
      <c r="V27" s="41">
        <v>1470</v>
      </c>
      <c r="W27" s="41">
        <v>-90</v>
      </c>
    </row>
    <row r="28" spans="1:24" ht="15" thickBot="1" x14ac:dyDescent="0.35">
      <c r="A28" s="35">
        <v>1430433</v>
      </c>
      <c r="B28" s="36">
        <v>45933</v>
      </c>
      <c r="C28" s="35" t="s">
        <v>226</v>
      </c>
      <c r="D28" s="35">
        <v>7.51</v>
      </c>
      <c r="E28" s="35"/>
      <c r="F28" s="35">
        <v>66.31</v>
      </c>
      <c r="W28">
        <f>W10+W11+W16+W19+W22+W23+W24+W25+W26</f>
        <v>-500</v>
      </c>
      <c r="X28">
        <f>W28*-1</f>
        <v>500</v>
      </c>
    </row>
    <row r="29" spans="1:24" ht="15" thickBot="1" x14ac:dyDescent="0.35">
      <c r="A29" s="35">
        <v>1430437</v>
      </c>
      <c r="B29" s="36">
        <v>45933</v>
      </c>
      <c r="C29" s="35" t="s">
        <v>286</v>
      </c>
      <c r="D29" s="35"/>
      <c r="E29" s="35">
        <v>100</v>
      </c>
      <c r="F29" s="35">
        <v>166.31</v>
      </c>
      <c r="W29">
        <f>W27+X28</f>
        <v>410</v>
      </c>
    </row>
    <row r="30" spans="1:24" ht="15" thickBot="1" x14ac:dyDescent="0.35">
      <c r="A30" s="35">
        <v>1430440</v>
      </c>
      <c r="B30" s="36">
        <v>45933</v>
      </c>
      <c r="C30" s="35" t="s">
        <v>287</v>
      </c>
      <c r="D30" s="35">
        <v>15.01</v>
      </c>
      <c r="E30" s="35"/>
      <c r="F30" s="35">
        <v>151.30000000000001</v>
      </c>
    </row>
    <row r="31" spans="1:24" ht="15" thickBot="1" x14ac:dyDescent="0.35">
      <c r="A31" s="35">
        <v>1430444</v>
      </c>
      <c r="B31" s="36">
        <v>45933</v>
      </c>
      <c r="C31" s="35" t="s">
        <v>231</v>
      </c>
      <c r="D31" s="35"/>
      <c r="E31" s="35">
        <v>50</v>
      </c>
      <c r="F31" s="35">
        <v>201.3</v>
      </c>
    </row>
    <row r="32" spans="1:24" ht="15" thickBot="1" x14ac:dyDescent="0.35">
      <c r="A32" s="35">
        <v>1430447</v>
      </c>
      <c r="B32" s="36">
        <v>45933</v>
      </c>
      <c r="C32" s="35" t="s">
        <v>232</v>
      </c>
      <c r="D32" s="35">
        <v>7.51</v>
      </c>
      <c r="E32" s="35"/>
      <c r="F32" s="35">
        <v>193.79</v>
      </c>
    </row>
    <row r="33" spans="1:6" ht="15" thickBot="1" x14ac:dyDescent="0.35">
      <c r="A33" s="35">
        <v>1430884</v>
      </c>
      <c r="B33" s="36">
        <v>45936</v>
      </c>
      <c r="C33" s="35" t="s">
        <v>288</v>
      </c>
      <c r="D33" s="35"/>
      <c r="E33" s="35">
        <v>50</v>
      </c>
      <c r="F33" s="35">
        <v>243.79</v>
      </c>
    </row>
    <row r="34" spans="1:6" ht="15" thickBot="1" x14ac:dyDescent="0.35">
      <c r="A34" s="35">
        <v>1430887</v>
      </c>
      <c r="B34" s="36">
        <v>45936</v>
      </c>
      <c r="C34" s="35" t="s">
        <v>289</v>
      </c>
      <c r="D34" s="35">
        <v>7.51</v>
      </c>
      <c r="E34" s="35"/>
      <c r="F34" s="35">
        <v>236.28</v>
      </c>
    </row>
    <row r="35" spans="1:6" ht="15" thickBot="1" x14ac:dyDescent="0.35">
      <c r="A35" s="35">
        <v>1432843</v>
      </c>
      <c r="B35" s="36">
        <v>45938</v>
      </c>
      <c r="C35" s="35" t="s">
        <v>290</v>
      </c>
      <c r="D35" s="35"/>
      <c r="E35" s="35">
        <v>50</v>
      </c>
      <c r="F35" s="35">
        <v>286.27999999999997</v>
      </c>
    </row>
    <row r="36" spans="1:6" ht="15" thickBot="1" x14ac:dyDescent="0.35">
      <c r="A36" s="35">
        <v>1432846</v>
      </c>
      <c r="B36" s="36">
        <v>45938</v>
      </c>
      <c r="C36" s="35" t="s">
        <v>291</v>
      </c>
      <c r="D36" s="35">
        <v>7.51</v>
      </c>
      <c r="E36" s="35"/>
      <c r="F36" s="35">
        <v>278.77</v>
      </c>
    </row>
    <row r="37" spans="1:6" ht="15" thickBot="1" x14ac:dyDescent="0.35">
      <c r="A37" s="35">
        <v>1432988</v>
      </c>
      <c r="B37" s="36">
        <v>45938</v>
      </c>
      <c r="C37" s="35" t="s">
        <v>114</v>
      </c>
      <c r="D37" s="35">
        <v>138</v>
      </c>
      <c r="E37" s="35"/>
      <c r="F37" s="35">
        <v>140.77000000000001</v>
      </c>
    </row>
    <row r="38" spans="1:6" ht="15" thickBot="1" x14ac:dyDescent="0.35">
      <c r="A38" s="35">
        <v>1433802</v>
      </c>
      <c r="B38" s="36">
        <v>45939</v>
      </c>
      <c r="C38" s="35" t="s">
        <v>292</v>
      </c>
      <c r="D38" s="35">
        <v>50</v>
      </c>
      <c r="E38" s="35"/>
      <c r="F38" s="35">
        <v>90.77</v>
      </c>
    </row>
    <row r="39" spans="1:6" ht="15" thickBot="1" x14ac:dyDescent="0.35">
      <c r="A39" s="35">
        <v>1433918</v>
      </c>
      <c r="B39" s="36">
        <v>45940</v>
      </c>
      <c r="C39" s="35" t="s">
        <v>293</v>
      </c>
      <c r="D39" s="35"/>
      <c r="E39" s="35">
        <v>20</v>
      </c>
      <c r="F39" s="35">
        <v>110.77</v>
      </c>
    </row>
    <row r="40" spans="1:6" ht="15" thickBot="1" x14ac:dyDescent="0.35">
      <c r="A40" s="35">
        <v>1433921</v>
      </c>
      <c r="B40" s="36">
        <v>45940</v>
      </c>
      <c r="C40" s="35" t="s">
        <v>294</v>
      </c>
      <c r="D40" s="35">
        <v>3</v>
      </c>
      <c r="E40" s="35"/>
      <c r="F40" s="35">
        <v>107.77</v>
      </c>
    </row>
    <row r="41" spans="1:6" ht="15" thickBot="1" x14ac:dyDescent="0.35">
      <c r="A41" s="35">
        <v>1434286</v>
      </c>
      <c r="B41" s="36">
        <v>45940</v>
      </c>
      <c r="C41" s="35" t="s">
        <v>295</v>
      </c>
      <c r="D41" s="35">
        <v>20</v>
      </c>
      <c r="E41" s="35"/>
      <c r="F41" s="35">
        <v>87.77</v>
      </c>
    </row>
    <row r="42" spans="1:6" ht="15" thickBot="1" x14ac:dyDescent="0.35">
      <c r="A42" s="35">
        <v>1434618</v>
      </c>
      <c r="B42" s="36">
        <v>45943</v>
      </c>
      <c r="C42" s="35" t="s">
        <v>296</v>
      </c>
      <c r="D42" s="35">
        <v>90</v>
      </c>
      <c r="E42" s="35"/>
      <c r="F42" s="35">
        <v>-2.23</v>
      </c>
    </row>
    <row r="43" spans="1:6" ht="15" thickBot="1" x14ac:dyDescent="0.35">
      <c r="A43" s="35">
        <v>1434620</v>
      </c>
      <c r="B43" s="36">
        <v>45943</v>
      </c>
      <c r="C43" s="35" t="s">
        <v>297</v>
      </c>
      <c r="D43" s="35">
        <v>2.7</v>
      </c>
      <c r="E43" s="35"/>
      <c r="F43" s="35">
        <v>-4.93</v>
      </c>
    </row>
    <row r="44" spans="1:6" ht="15" thickBot="1" x14ac:dyDescent="0.35">
      <c r="A44" s="35">
        <v>1435054</v>
      </c>
      <c r="B44" s="36">
        <v>45944</v>
      </c>
      <c r="C44" s="35" t="s">
        <v>298</v>
      </c>
      <c r="D44" s="35"/>
      <c r="E44" s="35">
        <v>100</v>
      </c>
      <c r="F44" s="35">
        <v>95.07</v>
      </c>
    </row>
    <row r="45" spans="1:6" ht="15" thickBot="1" x14ac:dyDescent="0.35">
      <c r="A45" s="35">
        <v>1435057</v>
      </c>
      <c r="B45" s="36">
        <v>45944</v>
      </c>
      <c r="C45" s="35" t="s">
        <v>299</v>
      </c>
      <c r="D45" s="35">
        <v>15.01</v>
      </c>
      <c r="E45" s="35"/>
      <c r="F45" s="35">
        <v>80.06</v>
      </c>
    </row>
    <row r="46" spans="1:6" ht="15" thickBot="1" x14ac:dyDescent="0.35">
      <c r="A46" s="35">
        <v>1437490</v>
      </c>
      <c r="B46" s="36">
        <v>45958</v>
      </c>
      <c r="C46" s="35" t="s">
        <v>300</v>
      </c>
      <c r="D46" s="35"/>
      <c r="E46" s="35">
        <v>50</v>
      </c>
      <c r="F46" s="35">
        <v>130.06</v>
      </c>
    </row>
    <row r="47" spans="1:6" ht="15" thickBot="1" x14ac:dyDescent="0.35">
      <c r="A47" s="35">
        <v>1437493</v>
      </c>
      <c r="B47" s="36">
        <v>45958</v>
      </c>
      <c r="C47" s="35" t="s">
        <v>301</v>
      </c>
      <c r="D47" s="35">
        <v>7.51</v>
      </c>
      <c r="E47" s="35"/>
      <c r="F47" s="35">
        <v>122.55</v>
      </c>
    </row>
    <row r="48" spans="1:6" ht="15" thickBot="1" x14ac:dyDescent="0.35">
      <c r="A48" s="35">
        <v>1437590</v>
      </c>
      <c r="B48" s="36">
        <v>45958</v>
      </c>
      <c r="C48" s="35" t="s">
        <v>261</v>
      </c>
      <c r="D48" s="35"/>
      <c r="E48" s="35">
        <v>50</v>
      </c>
      <c r="F48" s="35">
        <v>172.55</v>
      </c>
    </row>
    <row r="49" spans="1:6" ht="15" thickBot="1" x14ac:dyDescent="0.35">
      <c r="A49" s="35">
        <v>1437593</v>
      </c>
      <c r="B49" s="36">
        <v>45958</v>
      </c>
      <c r="C49" s="35" t="s">
        <v>262</v>
      </c>
      <c r="D49" s="35">
        <v>7.51</v>
      </c>
      <c r="E49" s="35"/>
      <c r="F49" s="35">
        <v>165.04</v>
      </c>
    </row>
    <row r="50" spans="1:6" ht="15" thickBot="1" x14ac:dyDescent="0.35">
      <c r="A50" s="35">
        <v>1437597</v>
      </c>
      <c r="B50" s="36">
        <v>45958</v>
      </c>
      <c r="C50" s="35" t="s">
        <v>221</v>
      </c>
      <c r="D50" s="35"/>
      <c r="E50" s="35">
        <v>100</v>
      </c>
      <c r="F50" s="35">
        <v>265.04000000000002</v>
      </c>
    </row>
    <row r="51" spans="1:6" ht="15" thickBot="1" x14ac:dyDescent="0.35">
      <c r="A51" s="35">
        <v>1437600</v>
      </c>
      <c r="B51" s="36">
        <v>45958</v>
      </c>
      <c r="C51" s="35" t="s">
        <v>222</v>
      </c>
      <c r="D51" s="35">
        <v>15.01</v>
      </c>
      <c r="E51" s="35"/>
      <c r="F51" s="35">
        <v>250.03</v>
      </c>
    </row>
    <row r="52" spans="1:6" ht="15" thickBot="1" x14ac:dyDescent="0.35">
      <c r="A52" s="35">
        <v>1437604</v>
      </c>
      <c r="B52" s="36">
        <v>45958</v>
      </c>
      <c r="C52" s="35" t="s">
        <v>219</v>
      </c>
      <c r="D52" s="35"/>
      <c r="E52" s="35">
        <v>50</v>
      </c>
      <c r="F52" s="35">
        <v>300.02999999999997</v>
      </c>
    </row>
    <row r="53" spans="1:6" ht="15" thickBot="1" x14ac:dyDescent="0.35">
      <c r="A53" s="35">
        <v>1437607</v>
      </c>
      <c r="B53" s="36">
        <v>45958</v>
      </c>
      <c r="C53" s="35" t="s">
        <v>220</v>
      </c>
      <c r="D53" s="35">
        <v>7.51</v>
      </c>
      <c r="E53" s="35"/>
      <c r="F53" s="35">
        <v>292.52</v>
      </c>
    </row>
    <row r="54" spans="1:6" ht="15" thickBot="1" x14ac:dyDescent="0.35">
      <c r="A54" s="35">
        <v>1437611</v>
      </c>
      <c r="B54" s="36">
        <v>45958</v>
      </c>
      <c r="C54" s="35" t="s">
        <v>263</v>
      </c>
      <c r="D54" s="35"/>
      <c r="E54" s="35">
        <v>50</v>
      </c>
      <c r="F54" s="35">
        <v>342.52</v>
      </c>
    </row>
    <row r="55" spans="1:6" ht="15" thickBot="1" x14ac:dyDescent="0.35">
      <c r="A55" s="35">
        <v>1437614</v>
      </c>
      <c r="B55" s="36">
        <v>45958</v>
      </c>
      <c r="C55" s="35" t="s">
        <v>264</v>
      </c>
      <c r="D55" s="35">
        <v>7.51</v>
      </c>
      <c r="E55" s="35"/>
      <c r="F55" s="35">
        <v>335.01</v>
      </c>
    </row>
    <row r="56" spans="1:6" ht="15" thickBot="1" x14ac:dyDescent="0.35">
      <c r="A56" s="35">
        <v>1437646</v>
      </c>
      <c r="B56" s="36">
        <v>45958</v>
      </c>
      <c r="C56" s="35" t="s">
        <v>284</v>
      </c>
      <c r="D56" s="35"/>
      <c r="E56" s="35">
        <v>50</v>
      </c>
      <c r="F56" s="35">
        <v>385.01</v>
      </c>
    </row>
    <row r="57" spans="1:6" ht="15" thickBot="1" x14ac:dyDescent="0.35">
      <c r="A57" s="35">
        <v>1437649</v>
      </c>
      <c r="B57" s="36">
        <v>45958</v>
      </c>
      <c r="C57" s="35" t="s">
        <v>285</v>
      </c>
      <c r="D57" s="35">
        <v>7.51</v>
      </c>
      <c r="E57" s="35"/>
      <c r="F57" s="35">
        <v>377.5</v>
      </c>
    </row>
    <row r="58" spans="1:6" ht="15" thickBot="1" x14ac:dyDescent="0.35">
      <c r="A58" s="35">
        <v>1437653</v>
      </c>
      <c r="B58" s="36">
        <v>45958</v>
      </c>
      <c r="C58" s="35" t="s">
        <v>286</v>
      </c>
      <c r="D58" s="35"/>
      <c r="E58" s="35">
        <v>100</v>
      </c>
      <c r="F58" s="35">
        <v>477.5</v>
      </c>
    </row>
    <row r="59" spans="1:6" ht="15" thickBot="1" x14ac:dyDescent="0.35">
      <c r="A59" s="35">
        <v>1437656</v>
      </c>
      <c r="B59" s="36">
        <v>45958</v>
      </c>
      <c r="C59" s="35" t="s">
        <v>287</v>
      </c>
      <c r="D59" s="35">
        <v>15.01</v>
      </c>
      <c r="E59" s="35"/>
      <c r="F59" s="35">
        <v>462.49</v>
      </c>
    </row>
    <row r="60" spans="1:6" ht="15" thickBot="1" x14ac:dyDescent="0.35">
      <c r="A60" s="35">
        <v>1437660</v>
      </c>
      <c r="B60" s="36">
        <v>45958</v>
      </c>
      <c r="C60" s="35" t="s">
        <v>227</v>
      </c>
      <c r="D60" s="35"/>
      <c r="E60" s="35">
        <v>50</v>
      </c>
      <c r="F60" s="35">
        <v>512.49</v>
      </c>
    </row>
    <row r="61" spans="1:6" ht="15" thickBot="1" x14ac:dyDescent="0.35">
      <c r="A61" s="38">
        <v>1437663</v>
      </c>
      <c r="B61" s="39">
        <v>45958</v>
      </c>
      <c r="C61" s="38" t="s">
        <v>228</v>
      </c>
      <c r="D61" s="38">
        <v>7.51</v>
      </c>
      <c r="E61" s="38"/>
      <c r="F61" s="38">
        <v>504.98</v>
      </c>
    </row>
    <row r="62" spans="1:6" ht="15" thickBot="1" x14ac:dyDescent="0.35">
      <c r="A62" s="35">
        <v>1437667</v>
      </c>
      <c r="B62" s="36">
        <v>45958</v>
      </c>
      <c r="C62" s="35" t="s">
        <v>231</v>
      </c>
      <c r="D62" s="35"/>
      <c r="E62" s="35">
        <v>50</v>
      </c>
      <c r="F62" s="35">
        <v>554.98</v>
      </c>
    </row>
    <row r="63" spans="1:6" ht="15" thickBot="1" x14ac:dyDescent="0.35">
      <c r="A63" s="35">
        <v>1437670</v>
      </c>
      <c r="B63" s="36">
        <v>45958</v>
      </c>
      <c r="C63" s="35" t="s">
        <v>232</v>
      </c>
      <c r="D63" s="35">
        <v>7.51</v>
      </c>
      <c r="E63" s="35"/>
      <c r="F63" s="35">
        <v>547.47</v>
      </c>
    </row>
    <row r="64" spans="1:6" ht="15" thickBot="1" x14ac:dyDescent="0.35">
      <c r="A64" s="35">
        <v>1438302</v>
      </c>
      <c r="B64" s="36">
        <v>45961</v>
      </c>
      <c r="C64" s="35" t="s">
        <v>223</v>
      </c>
      <c r="D64" s="35"/>
      <c r="E64" s="35">
        <v>50</v>
      </c>
      <c r="F64" s="35">
        <v>597.47</v>
      </c>
    </row>
    <row r="65" spans="1:6" ht="15" thickBot="1" x14ac:dyDescent="0.35">
      <c r="A65" s="35">
        <v>1438305</v>
      </c>
      <c r="B65" s="36">
        <v>45961</v>
      </c>
      <c r="C65" s="35" t="s">
        <v>224</v>
      </c>
      <c r="D65" s="35">
        <v>7.51</v>
      </c>
      <c r="E65" s="35"/>
      <c r="F65" s="35">
        <v>589.96</v>
      </c>
    </row>
    <row r="66" spans="1:6" ht="15" thickBot="1" x14ac:dyDescent="0.35">
      <c r="A66" s="35">
        <v>1438878</v>
      </c>
      <c r="B66" s="36">
        <v>45961</v>
      </c>
      <c r="C66" s="35" t="s">
        <v>59</v>
      </c>
      <c r="D66" s="35">
        <v>543</v>
      </c>
      <c r="E66" s="35"/>
      <c r="F66" s="35">
        <v>46.96</v>
      </c>
    </row>
    <row r="67" spans="1:6" x14ac:dyDescent="0.3">
      <c r="A67" s="35"/>
      <c r="B67" s="35"/>
      <c r="C67" s="35"/>
      <c r="D67" s="37">
        <v>1064.44</v>
      </c>
      <c r="E67" s="37">
        <v>1470</v>
      </c>
      <c r="F67" s="37">
        <v>46.96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88B9-1AE5-4BE5-A593-25B1A36790BB}">
  <dimension ref="A1:X44"/>
  <sheetViews>
    <sheetView topLeftCell="A25" workbookViewId="0">
      <selection activeCell="I35" sqref="I35"/>
    </sheetView>
  </sheetViews>
  <sheetFormatPr defaultRowHeight="14.4" x14ac:dyDescent="0.3"/>
  <cols>
    <col min="1" max="1" width="9.5546875" bestFit="1" customWidth="1"/>
    <col min="2" max="2" width="12.5546875" bestFit="1" customWidth="1"/>
    <col min="3" max="3" width="24.5546875" customWidth="1"/>
    <col min="4" max="6" width="9" bestFit="1" customWidth="1"/>
  </cols>
  <sheetData>
    <row r="1" spans="1:24" x14ac:dyDescent="0.3">
      <c r="A1" s="30" t="s">
        <v>4</v>
      </c>
      <c r="B1" s="31"/>
      <c r="C1" s="31"/>
      <c r="D1" s="31"/>
      <c r="E1" s="31"/>
      <c r="F1" s="31"/>
      <c r="J1" s="30" t="s">
        <v>4</v>
      </c>
      <c r="K1" s="31"/>
      <c r="L1" s="31"/>
      <c r="M1" s="31"/>
      <c r="N1" s="31"/>
      <c r="O1" s="31"/>
      <c r="R1" s="30" t="s">
        <v>13</v>
      </c>
      <c r="S1" s="31"/>
      <c r="T1" s="31"/>
      <c r="U1" s="31"/>
      <c r="V1" s="31"/>
      <c r="W1" s="31"/>
      <c r="X1" s="31"/>
    </row>
    <row r="2" spans="1:24" x14ac:dyDescent="0.3">
      <c r="A2" s="31"/>
      <c r="B2" s="31"/>
      <c r="C2" s="31"/>
      <c r="D2" s="31"/>
      <c r="E2" s="31"/>
      <c r="F2" s="31"/>
      <c r="J2" s="31"/>
      <c r="K2" s="31"/>
      <c r="L2" s="31"/>
      <c r="M2" s="31"/>
      <c r="N2" s="31"/>
      <c r="O2" s="31"/>
      <c r="R2" s="40" t="s">
        <v>67</v>
      </c>
      <c r="S2" s="31"/>
      <c r="T2" s="31"/>
      <c r="U2" s="31"/>
      <c r="V2" s="31"/>
      <c r="W2" s="31"/>
      <c r="X2" s="31"/>
    </row>
    <row r="3" spans="1:24" x14ac:dyDescent="0.3">
      <c r="A3" s="32" t="s">
        <v>118</v>
      </c>
      <c r="B3" s="31"/>
      <c r="C3" s="31"/>
      <c r="D3" s="31"/>
      <c r="E3" s="31"/>
      <c r="F3" s="31"/>
      <c r="J3" s="32" t="s">
        <v>118</v>
      </c>
      <c r="K3" s="31"/>
      <c r="L3" s="31"/>
      <c r="M3" s="31"/>
      <c r="N3" s="31"/>
      <c r="O3" s="31"/>
      <c r="R3" s="40" t="s">
        <v>281</v>
      </c>
      <c r="S3" s="31"/>
      <c r="T3" s="31"/>
      <c r="U3" s="31"/>
      <c r="V3" s="31"/>
      <c r="W3" s="31"/>
      <c r="X3" s="31"/>
    </row>
    <row r="4" spans="1:24" x14ac:dyDescent="0.3">
      <c r="A4" s="31"/>
      <c r="B4" s="31"/>
      <c r="C4" s="31"/>
      <c r="D4" s="31"/>
      <c r="E4" s="31"/>
      <c r="F4" s="31"/>
      <c r="J4" s="31"/>
      <c r="K4" s="31"/>
      <c r="L4" s="31"/>
      <c r="M4" s="31"/>
      <c r="N4" s="31"/>
      <c r="O4" s="31"/>
      <c r="R4" s="40" t="s">
        <v>14</v>
      </c>
      <c r="S4" s="31"/>
      <c r="T4" s="31"/>
      <c r="U4" s="31"/>
      <c r="V4" s="31"/>
      <c r="W4" s="31"/>
      <c r="X4" s="31"/>
    </row>
    <row r="5" spans="1:24" x14ac:dyDescent="0.3">
      <c r="A5" s="33" t="s">
        <v>119</v>
      </c>
      <c r="B5" s="31"/>
      <c r="C5" s="31"/>
      <c r="D5" s="31"/>
      <c r="E5" s="31"/>
      <c r="F5" s="31"/>
      <c r="J5" s="33" t="s">
        <v>279</v>
      </c>
      <c r="K5" s="31"/>
      <c r="L5" s="31"/>
      <c r="M5" s="31"/>
      <c r="N5" s="31"/>
      <c r="O5" s="31"/>
      <c r="R5" s="31"/>
      <c r="S5" s="31"/>
      <c r="T5" s="31"/>
      <c r="U5" s="31"/>
      <c r="V5" s="31"/>
      <c r="W5" s="31"/>
      <c r="X5" s="31"/>
    </row>
    <row r="6" spans="1:24" x14ac:dyDescent="0.3">
      <c r="A6" s="33" t="s">
        <v>120</v>
      </c>
      <c r="B6" s="31"/>
      <c r="C6" s="31"/>
      <c r="D6" s="31"/>
      <c r="E6" s="31"/>
      <c r="F6" s="31"/>
      <c r="J6" s="33" t="s">
        <v>280</v>
      </c>
      <c r="K6" s="31"/>
      <c r="L6" s="31"/>
      <c r="M6" s="31"/>
      <c r="N6" s="31"/>
      <c r="O6" s="31"/>
      <c r="R6" s="31"/>
      <c r="S6" s="31"/>
      <c r="T6" s="31"/>
      <c r="U6" s="31"/>
      <c r="V6" s="31"/>
      <c r="W6" s="31"/>
      <c r="X6" s="31"/>
    </row>
    <row r="7" spans="1:24" x14ac:dyDescent="0.3">
      <c r="A7" s="33" t="s">
        <v>278</v>
      </c>
      <c r="B7" s="31"/>
      <c r="C7" s="31"/>
      <c r="D7" s="31"/>
      <c r="E7" s="31"/>
      <c r="F7" s="31"/>
      <c r="J7" s="33" t="s">
        <v>278</v>
      </c>
      <c r="K7" s="31"/>
      <c r="L7" s="31"/>
      <c r="M7" s="31"/>
      <c r="N7" s="31"/>
      <c r="O7" s="31"/>
      <c r="R7" s="31"/>
      <c r="S7" s="31"/>
      <c r="T7" s="31"/>
      <c r="U7" s="31"/>
      <c r="V7" s="31"/>
      <c r="W7" s="31"/>
      <c r="X7" s="31"/>
    </row>
    <row r="8" spans="1:24" x14ac:dyDescent="0.3">
      <c r="A8" s="34"/>
      <c r="B8" s="31"/>
      <c r="C8" s="31"/>
      <c r="D8" s="31"/>
      <c r="E8" s="31"/>
      <c r="F8" s="31"/>
      <c r="J8" s="34"/>
      <c r="K8" s="31"/>
      <c r="L8" s="31"/>
      <c r="M8" s="31"/>
      <c r="N8" s="31"/>
      <c r="O8" s="31"/>
      <c r="R8" s="40" t="s">
        <v>69</v>
      </c>
      <c r="S8" s="31"/>
      <c r="T8" s="31"/>
      <c r="U8" s="31"/>
      <c r="V8" s="31"/>
      <c r="W8" s="31"/>
      <c r="X8" s="31"/>
    </row>
    <row r="9" spans="1:24" ht="15" thickBot="1" x14ac:dyDescent="0.35">
      <c r="A9" s="5" t="s">
        <v>6</v>
      </c>
      <c r="B9" s="5" t="s">
        <v>7</v>
      </c>
      <c r="C9" s="5" t="s">
        <v>8</v>
      </c>
      <c r="D9" s="5" t="s">
        <v>9</v>
      </c>
      <c r="E9" s="5" t="s">
        <v>10</v>
      </c>
      <c r="F9" s="5" t="s">
        <v>11</v>
      </c>
      <c r="J9" s="5" t="s">
        <v>6</v>
      </c>
      <c r="K9" s="5" t="s">
        <v>7</v>
      </c>
      <c r="L9" s="5" t="s">
        <v>8</v>
      </c>
      <c r="M9" s="5" t="s">
        <v>9</v>
      </c>
      <c r="N9" s="5" t="s">
        <v>10</v>
      </c>
      <c r="O9" s="5" t="s">
        <v>11</v>
      </c>
      <c r="R9" s="12" t="s">
        <v>15</v>
      </c>
      <c r="S9" s="12" t="s">
        <v>16</v>
      </c>
      <c r="T9" s="12" t="s">
        <v>0</v>
      </c>
      <c r="U9" s="12" t="s">
        <v>17</v>
      </c>
      <c r="V9" s="12" t="s">
        <v>1</v>
      </c>
      <c r="W9" s="12" t="s">
        <v>2</v>
      </c>
      <c r="X9" s="12" t="s">
        <v>3</v>
      </c>
    </row>
    <row r="10" spans="1:24" ht="15" thickBot="1" x14ac:dyDescent="0.35">
      <c r="A10" s="35"/>
      <c r="B10" s="35"/>
      <c r="C10" s="35" t="s">
        <v>12</v>
      </c>
      <c r="D10" s="35"/>
      <c r="E10" s="35"/>
      <c r="F10" s="35">
        <v>-352.95</v>
      </c>
      <c r="J10" s="35"/>
      <c r="K10" s="35"/>
      <c r="L10" s="35" t="s">
        <v>12</v>
      </c>
      <c r="M10" s="35"/>
      <c r="N10" s="35"/>
      <c r="O10" s="35">
        <v>0</v>
      </c>
      <c r="R10" s="35">
        <v>5817</v>
      </c>
      <c r="S10" s="35" t="s">
        <v>70</v>
      </c>
      <c r="T10" s="35">
        <v>0</v>
      </c>
      <c r="U10" s="35">
        <v>50</v>
      </c>
      <c r="V10" s="35">
        <v>50</v>
      </c>
      <c r="W10" s="35">
        <v>50</v>
      </c>
      <c r="X10" s="35">
        <v>0</v>
      </c>
    </row>
    <row r="11" spans="1:24" ht="15" thickBot="1" x14ac:dyDescent="0.35">
      <c r="A11" s="35">
        <v>1415193</v>
      </c>
      <c r="B11" s="36">
        <v>45902</v>
      </c>
      <c r="C11" s="35" t="s">
        <v>245</v>
      </c>
      <c r="D11" s="35"/>
      <c r="E11" s="35">
        <v>50</v>
      </c>
      <c r="F11" s="35">
        <v>-302.95</v>
      </c>
      <c r="J11" s="35"/>
      <c r="K11" s="35"/>
      <c r="L11" s="35"/>
      <c r="M11" s="37">
        <v>0</v>
      </c>
      <c r="N11" s="37">
        <v>0</v>
      </c>
      <c r="O11" s="37">
        <v>0</v>
      </c>
      <c r="R11" s="35">
        <v>5819</v>
      </c>
      <c r="S11" s="35" t="s">
        <v>71</v>
      </c>
      <c r="T11" s="35">
        <v>0</v>
      </c>
      <c r="U11" s="35">
        <v>50</v>
      </c>
      <c r="V11" s="35">
        <v>50</v>
      </c>
      <c r="W11" s="35">
        <v>50</v>
      </c>
      <c r="X11" s="35">
        <v>0</v>
      </c>
    </row>
    <row r="12" spans="1:24" ht="15" thickBot="1" x14ac:dyDescent="0.35">
      <c r="A12" s="35">
        <v>1415196</v>
      </c>
      <c r="B12" s="36">
        <v>45902</v>
      </c>
      <c r="C12" s="35" t="s">
        <v>246</v>
      </c>
      <c r="D12" s="35">
        <v>7.51</v>
      </c>
      <c r="E12" s="35"/>
      <c r="F12" s="35">
        <v>-310.45999999999998</v>
      </c>
      <c r="R12" s="35">
        <v>5820</v>
      </c>
      <c r="S12" s="35" t="s">
        <v>72</v>
      </c>
      <c r="T12" s="35">
        <v>0</v>
      </c>
      <c r="U12" s="35">
        <v>50</v>
      </c>
      <c r="V12" s="35">
        <v>50</v>
      </c>
      <c r="W12" s="35">
        <v>50</v>
      </c>
      <c r="X12" s="35">
        <v>0</v>
      </c>
    </row>
    <row r="13" spans="1:24" ht="15" thickBot="1" x14ac:dyDescent="0.35">
      <c r="A13" s="35">
        <v>1415200</v>
      </c>
      <c r="B13" s="36">
        <v>45902</v>
      </c>
      <c r="C13" s="35" t="s">
        <v>221</v>
      </c>
      <c r="D13" s="35"/>
      <c r="E13" s="35">
        <v>50</v>
      </c>
      <c r="F13" s="35">
        <v>-260.45999999999998</v>
      </c>
      <c r="R13" s="35">
        <v>5821</v>
      </c>
      <c r="S13" s="35" t="s">
        <v>73</v>
      </c>
      <c r="T13" s="35">
        <v>20</v>
      </c>
      <c r="U13" s="35">
        <v>50</v>
      </c>
      <c r="V13" s="35">
        <v>70</v>
      </c>
      <c r="W13" s="35">
        <v>50</v>
      </c>
      <c r="X13" s="35">
        <v>20</v>
      </c>
    </row>
    <row r="14" spans="1:24" ht="15" thickBot="1" x14ac:dyDescent="0.35">
      <c r="A14" s="35">
        <v>1415203</v>
      </c>
      <c r="B14" s="36">
        <v>45902</v>
      </c>
      <c r="C14" s="35" t="s">
        <v>222</v>
      </c>
      <c r="D14" s="35">
        <v>7.51</v>
      </c>
      <c r="E14" s="35"/>
      <c r="F14" s="35">
        <v>-267.97000000000003</v>
      </c>
      <c r="R14" s="35">
        <v>5822</v>
      </c>
      <c r="S14" s="35" t="s">
        <v>74</v>
      </c>
      <c r="T14" s="35">
        <v>100</v>
      </c>
      <c r="U14" s="35">
        <v>50</v>
      </c>
      <c r="V14" s="35">
        <v>150</v>
      </c>
      <c r="W14" s="35">
        <v>0</v>
      </c>
      <c r="X14" s="35">
        <v>150</v>
      </c>
    </row>
    <row r="15" spans="1:24" ht="15" thickBot="1" x14ac:dyDescent="0.35">
      <c r="A15" s="35">
        <v>1415207</v>
      </c>
      <c r="B15" s="36">
        <v>45902</v>
      </c>
      <c r="C15" s="35" t="s">
        <v>261</v>
      </c>
      <c r="D15" s="35"/>
      <c r="E15" s="35">
        <v>50</v>
      </c>
      <c r="F15" s="35">
        <v>-217.97</v>
      </c>
      <c r="R15" s="35">
        <v>5823</v>
      </c>
      <c r="S15" s="35" t="s">
        <v>75</v>
      </c>
      <c r="T15" s="35">
        <v>110</v>
      </c>
      <c r="U15" s="35">
        <v>50</v>
      </c>
      <c r="V15" s="35">
        <v>160</v>
      </c>
      <c r="W15" s="35">
        <v>50</v>
      </c>
      <c r="X15" s="35">
        <v>110</v>
      </c>
    </row>
    <row r="16" spans="1:24" ht="15" thickBot="1" x14ac:dyDescent="0.35">
      <c r="A16" s="35">
        <v>1415210</v>
      </c>
      <c r="B16" s="36">
        <v>45902</v>
      </c>
      <c r="C16" s="35" t="s">
        <v>262</v>
      </c>
      <c r="D16" s="35">
        <v>7.51</v>
      </c>
      <c r="E16" s="35"/>
      <c r="F16" s="35">
        <v>-225.48</v>
      </c>
      <c r="R16" s="35">
        <v>5824</v>
      </c>
      <c r="S16" s="35" t="s">
        <v>76</v>
      </c>
      <c r="T16" s="35">
        <v>0</v>
      </c>
      <c r="U16" s="35">
        <v>50</v>
      </c>
      <c r="V16" s="35">
        <v>50</v>
      </c>
      <c r="W16" s="35">
        <v>50</v>
      </c>
      <c r="X16" s="35">
        <v>0</v>
      </c>
    </row>
    <row r="17" spans="1:24" ht="15" thickBot="1" x14ac:dyDescent="0.35">
      <c r="A17" s="35">
        <v>1415214</v>
      </c>
      <c r="B17" s="36">
        <v>45902</v>
      </c>
      <c r="C17" s="35" t="s">
        <v>219</v>
      </c>
      <c r="D17" s="35"/>
      <c r="E17" s="35">
        <v>50</v>
      </c>
      <c r="F17" s="35">
        <v>-175.48</v>
      </c>
      <c r="R17" s="35">
        <v>5825</v>
      </c>
      <c r="S17" s="35" t="s">
        <v>77</v>
      </c>
      <c r="T17" s="35">
        <v>100</v>
      </c>
      <c r="U17" s="35">
        <v>50</v>
      </c>
      <c r="V17" s="35">
        <v>150</v>
      </c>
      <c r="W17" s="35">
        <v>0</v>
      </c>
      <c r="X17" s="35">
        <v>150</v>
      </c>
    </row>
    <row r="18" spans="1:24" ht="15" thickBot="1" x14ac:dyDescent="0.35">
      <c r="A18" s="35">
        <v>1415217</v>
      </c>
      <c r="B18" s="36">
        <v>45902</v>
      </c>
      <c r="C18" s="35" t="s">
        <v>220</v>
      </c>
      <c r="D18" s="35">
        <v>7.51</v>
      </c>
      <c r="E18" s="35"/>
      <c r="F18" s="35">
        <v>-182.99</v>
      </c>
      <c r="R18" s="35">
        <v>5826</v>
      </c>
      <c r="S18" s="35" t="s">
        <v>78</v>
      </c>
      <c r="T18" s="35">
        <v>50</v>
      </c>
      <c r="U18" s="35">
        <v>50</v>
      </c>
      <c r="V18" s="35">
        <v>100</v>
      </c>
      <c r="W18" s="35">
        <v>0</v>
      </c>
      <c r="X18" s="35">
        <v>100</v>
      </c>
    </row>
    <row r="19" spans="1:24" ht="15" thickBot="1" x14ac:dyDescent="0.35">
      <c r="A19" s="35">
        <v>1415221</v>
      </c>
      <c r="B19" s="36">
        <v>45902</v>
      </c>
      <c r="C19" s="35" t="s">
        <v>247</v>
      </c>
      <c r="D19" s="35"/>
      <c r="E19" s="35">
        <v>50</v>
      </c>
      <c r="F19" s="35">
        <v>-132.99</v>
      </c>
      <c r="R19" s="38">
        <v>5827</v>
      </c>
      <c r="S19" s="38" t="s">
        <v>79</v>
      </c>
      <c r="T19" s="38">
        <v>50</v>
      </c>
      <c r="U19" s="38">
        <v>50</v>
      </c>
      <c r="V19" s="38">
        <v>100</v>
      </c>
      <c r="W19" s="38">
        <v>50</v>
      </c>
      <c r="X19" s="38">
        <v>50</v>
      </c>
    </row>
    <row r="20" spans="1:24" ht="15" thickBot="1" x14ac:dyDescent="0.35">
      <c r="A20" s="35">
        <v>1415224</v>
      </c>
      <c r="B20" s="36">
        <v>45902</v>
      </c>
      <c r="C20" s="35" t="s">
        <v>248</v>
      </c>
      <c r="D20" s="35">
        <v>7.51</v>
      </c>
      <c r="E20" s="35"/>
      <c r="F20" s="35">
        <v>-140.5</v>
      </c>
      <c r="R20" s="35">
        <v>5828</v>
      </c>
      <c r="S20" s="35" t="s">
        <v>80</v>
      </c>
      <c r="T20" s="35">
        <v>0</v>
      </c>
      <c r="U20" s="35">
        <v>50</v>
      </c>
      <c r="V20" s="35">
        <v>50</v>
      </c>
      <c r="W20" s="35">
        <v>50</v>
      </c>
      <c r="X20" s="35">
        <v>0</v>
      </c>
    </row>
    <row r="21" spans="1:24" ht="15" thickBot="1" x14ac:dyDescent="0.35">
      <c r="A21" s="35">
        <v>1415228</v>
      </c>
      <c r="B21" s="36">
        <v>45902</v>
      </c>
      <c r="C21" s="35" t="s">
        <v>263</v>
      </c>
      <c r="D21" s="35"/>
      <c r="E21" s="35">
        <v>50</v>
      </c>
      <c r="F21" s="35">
        <v>-90.5</v>
      </c>
      <c r="R21" s="35">
        <v>5829</v>
      </c>
      <c r="S21" s="35" t="s">
        <v>81</v>
      </c>
      <c r="T21" s="35">
        <v>0</v>
      </c>
      <c r="U21" s="35">
        <v>50</v>
      </c>
      <c r="V21" s="35">
        <v>50</v>
      </c>
      <c r="W21" s="35">
        <v>100</v>
      </c>
      <c r="X21" s="35">
        <v>-50</v>
      </c>
    </row>
    <row r="22" spans="1:24" ht="15" thickBot="1" x14ac:dyDescent="0.35">
      <c r="A22" s="35">
        <v>1415231</v>
      </c>
      <c r="B22" s="36">
        <v>45902</v>
      </c>
      <c r="C22" s="35" t="s">
        <v>264</v>
      </c>
      <c r="D22" s="35">
        <v>7.51</v>
      </c>
      <c r="E22" s="35"/>
      <c r="F22" s="35">
        <v>-98.01</v>
      </c>
      <c r="R22" s="35">
        <v>5830</v>
      </c>
      <c r="S22" s="35" t="s">
        <v>82</v>
      </c>
      <c r="T22" s="35">
        <v>0</v>
      </c>
      <c r="U22" s="35">
        <v>50</v>
      </c>
      <c r="V22" s="35">
        <v>50</v>
      </c>
      <c r="W22" s="35">
        <v>50</v>
      </c>
      <c r="X22" s="35">
        <v>0</v>
      </c>
    </row>
    <row r="23" spans="1:24" ht="15" thickBot="1" x14ac:dyDescent="0.35">
      <c r="A23" s="35">
        <v>1415235</v>
      </c>
      <c r="B23" s="36">
        <v>45902</v>
      </c>
      <c r="C23" s="35" t="s">
        <v>215</v>
      </c>
      <c r="D23" s="35"/>
      <c r="E23" s="35">
        <v>50</v>
      </c>
      <c r="F23" s="35">
        <v>-48.01</v>
      </c>
      <c r="R23" s="35">
        <v>5831</v>
      </c>
      <c r="S23" s="35" t="s">
        <v>83</v>
      </c>
      <c r="T23" s="35">
        <v>0</v>
      </c>
      <c r="U23" s="35">
        <v>50</v>
      </c>
      <c r="V23" s="35">
        <v>50</v>
      </c>
      <c r="W23" s="35">
        <v>50</v>
      </c>
      <c r="X23" s="35">
        <v>0</v>
      </c>
    </row>
    <row r="24" spans="1:24" ht="15" thickBot="1" x14ac:dyDescent="0.35">
      <c r="A24" s="35">
        <v>1415238</v>
      </c>
      <c r="B24" s="36">
        <v>45902</v>
      </c>
      <c r="C24" s="35" t="s">
        <v>216</v>
      </c>
      <c r="D24" s="35">
        <v>7.51</v>
      </c>
      <c r="E24" s="35"/>
      <c r="F24" s="35">
        <v>-55.52</v>
      </c>
      <c r="R24" s="35">
        <v>5832</v>
      </c>
      <c r="S24" s="35" t="s">
        <v>84</v>
      </c>
      <c r="T24" s="35">
        <v>0</v>
      </c>
      <c r="U24" s="35">
        <v>50</v>
      </c>
      <c r="V24" s="35">
        <v>50</v>
      </c>
      <c r="W24" s="35">
        <v>50</v>
      </c>
      <c r="X24" s="35">
        <v>0</v>
      </c>
    </row>
    <row r="25" spans="1:24" ht="15" thickBot="1" x14ac:dyDescent="0.35">
      <c r="A25" s="35">
        <v>1415242</v>
      </c>
      <c r="B25" s="36">
        <v>45902</v>
      </c>
      <c r="C25" s="35" t="s">
        <v>223</v>
      </c>
      <c r="D25" s="35"/>
      <c r="E25" s="35">
        <v>50</v>
      </c>
      <c r="F25" s="35">
        <v>-5.52</v>
      </c>
      <c r="R25" s="35">
        <v>5833</v>
      </c>
      <c r="S25" s="35" t="s">
        <v>85</v>
      </c>
      <c r="T25" s="35">
        <v>0</v>
      </c>
      <c r="U25" s="35">
        <v>50</v>
      </c>
      <c r="V25" s="35">
        <v>50</v>
      </c>
      <c r="W25" s="35">
        <v>50</v>
      </c>
      <c r="X25" s="35">
        <v>0</v>
      </c>
    </row>
    <row r="26" spans="1:24" ht="15" thickBot="1" x14ac:dyDescent="0.35">
      <c r="A26" s="35">
        <v>1415245</v>
      </c>
      <c r="B26" s="36">
        <v>45902</v>
      </c>
      <c r="C26" s="35" t="s">
        <v>224</v>
      </c>
      <c r="D26" s="35">
        <v>7.51</v>
      </c>
      <c r="E26" s="35"/>
      <c r="F26" s="35">
        <v>-13.03</v>
      </c>
      <c r="R26" s="35">
        <v>5834</v>
      </c>
      <c r="S26" s="35" t="s">
        <v>86</v>
      </c>
      <c r="T26" s="35">
        <v>0</v>
      </c>
      <c r="U26" s="35">
        <v>50</v>
      </c>
      <c r="V26" s="35">
        <v>50</v>
      </c>
      <c r="W26" s="35">
        <v>50</v>
      </c>
      <c r="X26" s="35">
        <v>0</v>
      </c>
    </row>
    <row r="27" spans="1:24" ht="15" thickBot="1" x14ac:dyDescent="0.35">
      <c r="A27" s="35">
        <v>1415249</v>
      </c>
      <c r="B27" s="36">
        <v>45902</v>
      </c>
      <c r="C27" s="35" t="s">
        <v>265</v>
      </c>
      <c r="D27" s="35"/>
      <c r="E27" s="35">
        <v>50</v>
      </c>
      <c r="F27" s="35">
        <v>36.97</v>
      </c>
      <c r="R27" s="35"/>
      <c r="S27" s="35"/>
      <c r="T27" s="41">
        <v>430</v>
      </c>
      <c r="U27" s="41">
        <v>850</v>
      </c>
      <c r="V27" s="41">
        <v>1280</v>
      </c>
      <c r="W27" s="41">
        <v>750</v>
      </c>
      <c r="X27" s="41">
        <v>530</v>
      </c>
    </row>
    <row r="28" spans="1:24" ht="15" thickBot="1" x14ac:dyDescent="0.35">
      <c r="A28" s="35">
        <v>1415252</v>
      </c>
      <c r="B28" s="36">
        <v>45902</v>
      </c>
      <c r="C28" s="35" t="s">
        <v>266</v>
      </c>
      <c r="D28" s="35">
        <v>7.51</v>
      </c>
      <c r="E28" s="35"/>
      <c r="F28" s="35">
        <v>29.46</v>
      </c>
      <c r="X28">
        <f>X21*-1</f>
        <v>50</v>
      </c>
    </row>
    <row r="29" spans="1:24" ht="15" thickBot="1" x14ac:dyDescent="0.35">
      <c r="A29" s="35">
        <v>1415256</v>
      </c>
      <c r="B29" s="36">
        <v>45902</v>
      </c>
      <c r="C29" s="35" t="s">
        <v>231</v>
      </c>
      <c r="D29" s="35"/>
      <c r="E29" s="35">
        <v>50</v>
      </c>
      <c r="F29" s="35">
        <v>79.459999999999994</v>
      </c>
      <c r="X29">
        <f>X27+X28</f>
        <v>580</v>
      </c>
    </row>
    <row r="30" spans="1:24" ht="15" thickBot="1" x14ac:dyDescent="0.35">
      <c r="A30" s="35">
        <v>1415259</v>
      </c>
      <c r="B30" s="36">
        <v>45902</v>
      </c>
      <c r="C30" s="35" t="s">
        <v>232</v>
      </c>
      <c r="D30" s="35">
        <v>7.51</v>
      </c>
      <c r="E30" s="35"/>
      <c r="F30" s="35">
        <v>71.95</v>
      </c>
    </row>
    <row r="31" spans="1:24" ht="15" thickBot="1" x14ac:dyDescent="0.35">
      <c r="A31" s="35">
        <v>1415263</v>
      </c>
      <c r="B31" s="36">
        <v>45902</v>
      </c>
      <c r="C31" s="35" t="s">
        <v>267</v>
      </c>
      <c r="D31" s="35"/>
      <c r="E31" s="35">
        <v>50</v>
      </c>
      <c r="F31" s="35">
        <v>121.95</v>
      </c>
    </row>
    <row r="32" spans="1:24" ht="15" thickBot="1" x14ac:dyDescent="0.35">
      <c r="A32" s="35">
        <v>1415266</v>
      </c>
      <c r="B32" s="36">
        <v>45902</v>
      </c>
      <c r="C32" s="35" t="s">
        <v>268</v>
      </c>
      <c r="D32" s="35">
        <v>7.51</v>
      </c>
      <c r="E32" s="35"/>
      <c r="F32" s="35">
        <v>114.44</v>
      </c>
    </row>
    <row r="33" spans="1:6" ht="15" thickBot="1" x14ac:dyDescent="0.35">
      <c r="A33" s="35">
        <v>1415270</v>
      </c>
      <c r="B33" s="36">
        <v>45902</v>
      </c>
      <c r="C33" s="35" t="s">
        <v>247</v>
      </c>
      <c r="D33" s="35"/>
      <c r="E33" s="35">
        <v>50</v>
      </c>
      <c r="F33" s="35">
        <v>164.44</v>
      </c>
    </row>
    <row r="34" spans="1:6" ht="15" thickBot="1" x14ac:dyDescent="0.35">
      <c r="A34" s="35">
        <v>1415273</v>
      </c>
      <c r="B34" s="36">
        <v>45902</v>
      </c>
      <c r="C34" s="35" t="s">
        <v>248</v>
      </c>
      <c r="D34" s="35">
        <v>7.51</v>
      </c>
      <c r="E34" s="35"/>
      <c r="F34" s="35">
        <v>156.93</v>
      </c>
    </row>
    <row r="35" spans="1:6" ht="15" thickBot="1" x14ac:dyDescent="0.35">
      <c r="A35" s="35">
        <v>1417297</v>
      </c>
      <c r="B35" s="36">
        <v>45903</v>
      </c>
      <c r="C35" s="35" t="s">
        <v>269</v>
      </c>
      <c r="D35" s="35"/>
      <c r="E35" s="35">
        <v>50</v>
      </c>
      <c r="F35" s="35">
        <v>206.93</v>
      </c>
    </row>
    <row r="36" spans="1:6" ht="15" thickBot="1" x14ac:dyDescent="0.35">
      <c r="A36" s="35">
        <v>1417300</v>
      </c>
      <c r="B36" s="36">
        <v>45903</v>
      </c>
      <c r="C36" s="35" t="s">
        <v>270</v>
      </c>
      <c r="D36" s="35">
        <v>7.51</v>
      </c>
      <c r="E36" s="35"/>
      <c r="F36" s="35">
        <v>199.42</v>
      </c>
    </row>
    <row r="37" spans="1:6" ht="15" thickBot="1" x14ac:dyDescent="0.35">
      <c r="A37" s="35">
        <v>1423993</v>
      </c>
      <c r="B37" s="36">
        <v>45904</v>
      </c>
      <c r="C37" s="35" t="s">
        <v>271</v>
      </c>
      <c r="D37" s="35"/>
      <c r="E37" s="35">
        <v>50</v>
      </c>
      <c r="F37" s="35">
        <v>249.42</v>
      </c>
    </row>
    <row r="38" spans="1:6" ht="15" thickBot="1" x14ac:dyDescent="0.35">
      <c r="A38" s="35">
        <v>1423996</v>
      </c>
      <c r="B38" s="36">
        <v>45904</v>
      </c>
      <c r="C38" s="35" t="s">
        <v>272</v>
      </c>
      <c r="D38" s="35">
        <v>7.51</v>
      </c>
      <c r="E38" s="35"/>
      <c r="F38" s="35">
        <v>241.91</v>
      </c>
    </row>
    <row r="39" spans="1:6" ht="15" thickBot="1" x14ac:dyDescent="0.35">
      <c r="A39" s="35">
        <v>1424060</v>
      </c>
      <c r="B39" s="36">
        <v>45916</v>
      </c>
      <c r="C39" s="35" t="s">
        <v>273</v>
      </c>
      <c r="D39" s="35"/>
      <c r="E39" s="35">
        <v>50</v>
      </c>
      <c r="F39" s="35">
        <v>291.91000000000003</v>
      </c>
    </row>
    <row r="40" spans="1:6" ht="15" thickBot="1" x14ac:dyDescent="0.35">
      <c r="A40" s="35">
        <v>1424063</v>
      </c>
      <c r="B40" s="36">
        <v>45916</v>
      </c>
      <c r="C40" s="35" t="s">
        <v>274</v>
      </c>
      <c r="D40" s="35">
        <v>7.51</v>
      </c>
      <c r="E40" s="35"/>
      <c r="F40" s="35">
        <v>284.39999999999998</v>
      </c>
    </row>
    <row r="41" spans="1:6" ht="15" thickBot="1" x14ac:dyDescent="0.35">
      <c r="A41" s="38">
        <v>1424246</v>
      </c>
      <c r="B41" s="39">
        <v>45916</v>
      </c>
      <c r="C41" s="38" t="s">
        <v>275</v>
      </c>
      <c r="D41" s="38">
        <v>90</v>
      </c>
      <c r="E41" s="38"/>
      <c r="F41" s="38">
        <v>194.4</v>
      </c>
    </row>
    <row r="42" spans="1:6" ht="15" thickBot="1" x14ac:dyDescent="0.35">
      <c r="A42" s="35">
        <v>1425659</v>
      </c>
      <c r="B42" s="36">
        <v>45923</v>
      </c>
      <c r="C42" s="35" t="s">
        <v>276</v>
      </c>
      <c r="D42" s="35">
        <v>10</v>
      </c>
      <c r="E42" s="35"/>
      <c r="F42" s="35">
        <v>184.4</v>
      </c>
    </row>
    <row r="43" spans="1:6" ht="15" thickBot="1" x14ac:dyDescent="0.35">
      <c r="A43" s="35">
        <v>1428449</v>
      </c>
      <c r="B43" s="36">
        <v>45930</v>
      </c>
      <c r="C43" s="35" t="s">
        <v>277</v>
      </c>
      <c r="D43" s="35">
        <v>543</v>
      </c>
      <c r="E43" s="35"/>
      <c r="F43" s="35">
        <v>-358.6</v>
      </c>
    </row>
    <row r="44" spans="1:6" x14ac:dyDescent="0.3">
      <c r="A44" s="35"/>
      <c r="B44" s="35"/>
      <c r="C44" s="35"/>
      <c r="D44" s="37">
        <v>755.65</v>
      </c>
      <c r="E44" s="37">
        <v>750</v>
      </c>
      <c r="F44" s="37">
        <v>-358.6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FD0A9-4BB2-4929-BD66-6E82D44D6161}">
  <dimension ref="A1:P36"/>
  <sheetViews>
    <sheetView topLeftCell="A16" workbookViewId="0">
      <selection activeCell="C35" sqref="C35"/>
    </sheetView>
  </sheetViews>
  <sheetFormatPr defaultRowHeight="14.4" x14ac:dyDescent="0.3"/>
  <cols>
    <col min="1" max="1" width="9.5546875" bestFit="1" customWidth="1"/>
    <col min="2" max="2" width="6.44140625" customWidth="1"/>
    <col min="3" max="3" width="14.77734375" customWidth="1"/>
    <col min="4" max="6" width="9" bestFit="1" customWidth="1"/>
  </cols>
  <sheetData>
    <row r="1" spans="1:16" x14ac:dyDescent="0.3">
      <c r="A1" s="30" t="s">
        <v>4</v>
      </c>
      <c r="B1" s="31"/>
      <c r="C1" s="31"/>
      <c r="D1" s="31"/>
      <c r="E1" s="31"/>
      <c r="F1" s="31"/>
      <c r="J1" s="30" t="s">
        <v>13</v>
      </c>
      <c r="K1" s="31"/>
      <c r="L1" s="31"/>
      <c r="M1" s="31"/>
      <c r="N1" s="31"/>
      <c r="O1" s="31"/>
      <c r="P1" s="31"/>
    </row>
    <row r="2" spans="1:16" x14ac:dyDescent="0.3">
      <c r="A2" s="31"/>
      <c r="B2" s="31"/>
      <c r="C2" s="31"/>
      <c r="D2" s="31"/>
      <c r="E2" s="31"/>
      <c r="F2" s="31"/>
      <c r="J2" s="40" t="s">
        <v>67</v>
      </c>
      <c r="K2" s="31"/>
      <c r="L2" s="31"/>
      <c r="M2" s="31"/>
      <c r="N2" s="31"/>
      <c r="O2" s="31"/>
      <c r="P2" s="31"/>
    </row>
    <row r="3" spans="1:16" x14ac:dyDescent="0.3">
      <c r="A3" s="32" t="s">
        <v>118</v>
      </c>
      <c r="B3" s="31"/>
      <c r="C3" s="31"/>
      <c r="D3" s="31"/>
      <c r="E3" s="31"/>
      <c r="F3" s="31"/>
      <c r="J3" s="40" t="s">
        <v>260</v>
      </c>
      <c r="K3" s="31"/>
      <c r="L3" s="31"/>
      <c r="M3" s="31"/>
      <c r="N3" s="31"/>
      <c r="O3" s="31"/>
      <c r="P3" s="31"/>
    </row>
    <row r="4" spans="1:16" x14ac:dyDescent="0.3">
      <c r="A4" s="31"/>
      <c r="B4" s="31"/>
      <c r="C4" s="31"/>
      <c r="D4" s="31"/>
      <c r="E4" s="31"/>
      <c r="F4" s="31"/>
      <c r="J4" s="40" t="s">
        <v>14</v>
      </c>
      <c r="K4" s="31"/>
      <c r="L4" s="31"/>
      <c r="M4" s="31"/>
      <c r="N4" s="31"/>
      <c r="O4" s="31"/>
      <c r="P4" s="31"/>
    </row>
    <row r="5" spans="1:16" x14ac:dyDescent="0.3">
      <c r="A5" s="33" t="s">
        <v>119</v>
      </c>
      <c r="B5" s="31"/>
      <c r="C5" s="31"/>
      <c r="D5" s="31"/>
      <c r="E5" s="31"/>
      <c r="F5" s="31"/>
      <c r="J5" s="31"/>
      <c r="K5" s="31"/>
      <c r="L5" s="31"/>
      <c r="M5" s="31"/>
      <c r="N5" s="31"/>
      <c r="O5" s="31"/>
      <c r="P5" s="31"/>
    </row>
    <row r="6" spans="1:16" x14ac:dyDescent="0.3">
      <c r="A6" s="33" t="s">
        <v>120</v>
      </c>
      <c r="B6" s="31"/>
      <c r="C6" s="31"/>
      <c r="D6" s="31"/>
      <c r="E6" s="31"/>
      <c r="F6" s="31"/>
      <c r="J6" s="31"/>
      <c r="K6" s="31"/>
      <c r="L6" s="31"/>
      <c r="M6" s="31"/>
      <c r="N6" s="31"/>
      <c r="O6" s="31"/>
      <c r="P6" s="31"/>
    </row>
    <row r="7" spans="1:16" x14ac:dyDescent="0.3">
      <c r="A7" s="33" t="s">
        <v>259</v>
      </c>
      <c r="B7" s="31"/>
      <c r="C7" s="31"/>
      <c r="D7" s="31"/>
      <c r="E7" s="31"/>
      <c r="F7" s="31"/>
      <c r="J7" s="31"/>
      <c r="K7" s="31"/>
      <c r="L7" s="31"/>
      <c r="M7" s="31"/>
      <c r="N7" s="31"/>
      <c r="O7" s="31"/>
      <c r="P7" s="31"/>
    </row>
    <row r="8" spans="1:16" x14ac:dyDescent="0.3">
      <c r="A8" s="34"/>
      <c r="B8" s="31"/>
      <c r="C8" s="31"/>
      <c r="D8" s="31"/>
      <c r="E8" s="31"/>
      <c r="F8" s="31"/>
      <c r="J8" s="40" t="s">
        <v>69</v>
      </c>
      <c r="K8" s="31"/>
      <c r="L8" s="31"/>
      <c r="M8" s="31"/>
      <c r="N8" s="31"/>
      <c r="O8" s="31"/>
      <c r="P8" s="31"/>
    </row>
    <row r="9" spans="1:16" ht="15" thickBot="1" x14ac:dyDescent="0.35">
      <c r="A9" s="5" t="s">
        <v>6</v>
      </c>
      <c r="B9" s="5" t="s">
        <v>7</v>
      </c>
      <c r="C9" s="5" t="s">
        <v>8</v>
      </c>
      <c r="D9" s="5" t="s">
        <v>9</v>
      </c>
      <c r="E9" s="5" t="s">
        <v>10</v>
      </c>
      <c r="F9" s="5" t="s">
        <v>11</v>
      </c>
      <c r="J9" s="12" t="s">
        <v>15</v>
      </c>
      <c r="K9" s="12" t="s">
        <v>16</v>
      </c>
      <c r="L9" s="12" t="s">
        <v>0</v>
      </c>
      <c r="M9" s="12" t="s">
        <v>17</v>
      </c>
      <c r="N9" s="12" t="s">
        <v>1</v>
      </c>
      <c r="O9" s="12" t="s">
        <v>2</v>
      </c>
      <c r="P9" s="12" t="s">
        <v>3</v>
      </c>
    </row>
    <row r="10" spans="1:16" ht="15" thickBot="1" x14ac:dyDescent="0.35">
      <c r="A10" s="35"/>
      <c r="B10" s="35"/>
      <c r="C10" s="35" t="s">
        <v>12</v>
      </c>
      <c r="D10" s="35"/>
      <c r="E10" s="35"/>
      <c r="F10" s="35">
        <v>-362.33</v>
      </c>
      <c r="J10" s="35">
        <v>5817</v>
      </c>
      <c r="K10" s="35" t="s">
        <v>70</v>
      </c>
      <c r="L10" s="35">
        <v>0</v>
      </c>
      <c r="M10" s="35">
        <v>50</v>
      </c>
      <c r="N10" s="35">
        <v>50</v>
      </c>
      <c r="O10" s="35">
        <v>50</v>
      </c>
      <c r="P10" s="35">
        <v>0</v>
      </c>
    </row>
    <row r="11" spans="1:16" ht="15" thickBot="1" x14ac:dyDescent="0.35">
      <c r="A11" s="35">
        <v>1406793</v>
      </c>
      <c r="B11" s="36">
        <v>45875</v>
      </c>
      <c r="C11" s="35" t="s">
        <v>221</v>
      </c>
      <c r="D11" s="35"/>
      <c r="E11" s="35">
        <v>50</v>
      </c>
      <c r="F11" s="35">
        <v>-312.33</v>
      </c>
      <c r="J11" s="35">
        <v>5819</v>
      </c>
      <c r="K11" s="35" t="s">
        <v>71</v>
      </c>
      <c r="L11" s="35">
        <v>0</v>
      </c>
      <c r="M11" s="35">
        <v>50</v>
      </c>
      <c r="N11" s="35">
        <v>50</v>
      </c>
      <c r="O11" s="35">
        <v>50</v>
      </c>
      <c r="P11" s="35">
        <v>0</v>
      </c>
    </row>
    <row r="12" spans="1:16" ht="15" thickBot="1" x14ac:dyDescent="0.35">
      <c r="A12" s="35">
        <v>1406796</v>
      </c>
      <c r="B12" s="36">
        <v>45875</v>
      </c>
      <c r="C12" s="35" t="s">
        <v>222</v>
      </c>
      <c r="D12" s="35">
        <v>7.51</v>
      </c>
      <c r="E12" s="35"/>
      <c r="F12" s="35">
        <v>-319.83999999999997</v>
      </c>
      <c r="J12" s="35">
        <v>5820</v>
      </c>
      <c r="K12" s="35" t="s">
        <v>72</v>
      </c>
      <c r="L12" s="35">
        <v>-50</v>
      </c>
      <c r="M12" s="35">
        <v>50</v>
      </c>
      <c r="N12" s="35">
        <v>0</v>
      </c>
      <c r="O12" s="35">
        <v>0</v>
      </c>
      <c r="P12" s="35">
        <v>0</v>
      </c>
    </row>
    <row r="13" spans="1:16" ht="15" thickBot="1" x14ac:dyDescent="0.35">
      <c r="A13" s="35">
        <v>1406800</v>
      </c>
      <c r="B13" s="36">
        <v>45875</v>
      </c>
      <c r="C13" s="35" t="s">
        <v>245</v>
      </c>
      <c r="D13" s="35"/>
      <c r="E13" s="35">
        <v>100</v>
      </c>
      <c r="F13" s="35">
        <v>-219.84</v>
      </c>
      <c r="J13" s="35">
        <v>5821</v>
      </c>
      <c r="K13" s="35" t="s">
        <v>73</v>
      </c>
      <c r="L13" s="35">
        <v>20</v>
      </c>
      <c r="M13" s="35">
        <v>50</v>
      </c>
      <c r="N13" s="35">
        <v>70</v>
      </c>
      <c r="O13" s="35">
        <v>50</v>
      </c>
      <c r="P13" s="35">
        <v>20</v>
      </c>
    </row>
    <row r="14" spans="1:16" ht="15" thickBot="1" x14ac:dyDescent="0.35">
      <c r="A14" s="35">
        <v>1406803</v>
      </c>
      <c r="B14" s="36">
        <v>45875</v>
      </c>
      <c r="C14" s="35" t="s">
        <v>246</v>
      </c>
      <c r="D14" s="35">
        <v>15.01</v>
      </c>
      <c r="E14" s="35"/>
      <c r="F14" s="35">
        <v>-234.85</v>
      </c>
      <c r="J14" s="35">
        <v>5822</v>
      </c>
      <c r="K14" s="35" t="s">
        <v>74</v>
      </c>
      <c r="L14" s="35">
        <v>50</v>
      </c>
      <c r="M14" s="35">
        <v>50</v>
      </c>
      <c r="N14" s="35">
        <v>100</v>
      </c>
      <c r="O14" s="35">
        <v>0</v>
      </c>
      <c r="P14" s="35">
        <v>100</v>
      </c>
    </row>
    <row r="15" spans="1:16" ht="15" thickBot="1" x14ac:dyDescent="0.35">
      <c r="A15" s="35">
        <v>1406807</v>
      </c>
      <c r="B15" s="36">
        <v>45875</v>
      </c>
      <c r="C15" s="35" t="s">
        <v>247</v>
      </c>
      <c r="D15" s="35"/>
      <c r="E15" s="35">
        <v>50</v>
      </c>
      <c r="F15" s="35">
        <v>-184.85</v>
      </c>
      <c r="J15" s="35">
        <v>5823</v>
      </c>
      <c r="K15" s="35" t="s">
        <v>75</v>
      </c>
      <c r="L15" s="35">
        <v>60</v>
      </c>
      <c r="M15" s="35">
        <v>50</v>
      </c>
      <c r="N15" s="35">
        <v>110</v>
      </c>
      <c r="O15" s="35">
        <v>0</v>
      </c>
      <c r="P15" s="35">
        <v>110</v>
      </c>
    </row>
    <row r="16" spans="1:16" ht="15" thickBot="1" x14ac:dyDescent="0.35">
      <c r="A16" s="35">
        <v>1406810</v>
      </c>
      <c r="B16" s="36">
        <v>45875</v>
      </c>
      <c r="C16" s="35" t="s">
        <v>248</v>
      </c>
      <c r="D16" s="35">
        <v>7.51</v>
      </c>
      <c r="E16" s="35"/>
      <c r="F16" s="35">
        <v>-192.36</v>
      </c>
      <c r="J16" s="35">
        <v>5824</v>
      </c>
      <c r="K16" s="35" t="s">
        <v>76</v>
      </c>
      <c r="L16" s="35">
        <v>0</v>
      </c>
      <c r="M16" s="35">
        <v>50</v>
      </c>
      <c r="N16" s="35">
        <v>50</v>
      </c>
      <c r="O16" s="35">
        <v>50</v>
      </c>
      <c r="P16" s="35">
        <v>0</v>
      </c>
    </row>
    <row r="17" spans="1:16" ht="15" thickBot="1" x14ac:dyDescent="0.35">
      <c r="A17" s="35">
        <v>1406814</v>
      </c>
      <c r="B17" s="36">
        <v>45875</v>
      </c>
      <c r="C17" s="35" t="s">
        <v>223</v>
      </c>
      <c r="D17" s="35"/>
      <c r="E17" s="35">
        <v>50</v>
      </c>
      <c r="F17" s="35">
        <v>-142.36000000000001</v>
      </c>
      <c r="J17" s="35">
        <v>5825</v>
      </c>
      <c r="K17" s="35" t="s">
        <v>77</v>
      </c>
      <c r="L17" s="35">
        <v>50</v>
      </c>
      <c r="M17" s="35">
        <v>50</v>
      </c>
      <c r="N17" s="35">
        <v>100</v>
      </c>
      <c r="O17" s="35">
        <v>0</v>
      </c>
      <c r="P17" s="35">
        <v>100</v>
      </c>
    </row>
    <row r="18" spans="1:16" ht="15" thickBot="1" x14ac:dyDescent="0.35">
      <c r="A18" s="35">
        <v>1406817</v>
      </c>
      <c r="B18" s="36">
        <v>45875</v>
      </c>
      <c r="C18" s="35" t="s">
        <v>224</v>
      </c>
      <c r="D18" s="35">
        <v>7.51</v>
      </c>
      <c r="E18" s="35"/>
      <c r="F18" s="35">
        <v>-149.87</v>
      </c>
      <c r="J18" s="35">
        <v>5826</v>
      </c>
      <c r="K18" s="35" t="s">
        <v>78</v>
      </c>
      <c r="L18" s="35">
        <v>50</v>
      </c>
      <c r="M18" s="35">
        <v>50</v>
      </c>
      <c r="N18" s="35">
        <v>100</v>
      </c>
      <c r="O18" s="35">
        <v>50</v>
      </c>
      <c r="P18" s="35">
        <v>50</v>
      </c>
    </row>
    <row r="19" spans="1:16" ht="15" thickBot="1" x14ac:dyDescent="0.35">
      <c r="A19" s="35">
        <v>1406828</v>
      </c>
      <c r="B19" s="36">
        <v>45875</v>
      </c>
      <c r="C19" s="35" t="s">
        <v>217</v>
      </c>
      <c r="D19" s="35"/>
      <c r="E19" s="35">
        <v>50</v>
      </c>
      <c r="F19" s="35">
        <v>-99.87</v>
      </c>
      <c r="J19" s="38">
        <v>5827</v>
      </c>
      <c r="K19" s="38" t="s">
        <v>79</v>
      </c>
      <c r="L19" s="38">
        <v>0</v>
      </c>
      <c r="M19" s="38">
        <v>50</v>
      </c>
      <c r="N19" s="38">
        <v>50</v>
      </c>
      <c r="O19" s="38">
        <v>0</v>
      </c>
      <c r="P19" s="38">
        <v>50</v>
      </c>
    </row>
    <row r="20" spans="1:16" ht="15" thickBot="1" x14ac:dyDescent="0.35">
      <c r="A20" s="35">
        <v>1406831</v>
      </c>
      <c r="B20" s="36">
        <v>45875</v>
      </c>
      <c r="C20" s="35" t="s">
        <v>218</v>
      </c>
      <c r="D20" s="35">
        <v>7.51</v>
      </c>
      <c r="E20" s="35"/>
      <c r="F20" s="35">
        <v>-107.38</v>
      </c>
      <c r="J20" s="35">
        <v>5828</v>
      </c>
      <c r="K20" s="35" t="s">
        <v>80</v>
      </c>
      <c r="L20" s="35">
        <v>50</v>
      </c>
      <c r="M20" s="35">
        <v>50</v>
      </c>
      <c r="N20" s="35">
        <v>100</v>
      </c>
      <c r="O20" s="35">
        <v>100</v>
      </c>
      <c r="P20" s="35">
        <v>0</v>
      </c>
    </row>
    <row r="21" spans="1:16" ht="15" thickBot="1" x14ac:dyDescent="0.35">
      <c r="A21" s="35">
        <v>1406835</v>
      </c>
      <c r="B21" s="36">
        <v>45875</v>
      </c>
      <c r="C21" s="35" t="s">
        <v>215</v>
      </c>
      <c r="D21" s="35"/>
      <c r="E21" s="35">
        <v>50</v>
      </c>
      <c r="F21" s="35">
        <v>-57.38</v>
      </c>
      <c r="J21" s="35">
        <v>5829</v>
      </c>
      <c r="K21" s="35" t="s">
        <v>81</v>
      </c>
      <c r="L21" s="35">
        <v>0</v>
      </c>
      <c r="M21" s="35">
        <v>50</v>
      </c>
      <c r="N21" s="35">
        <v>50</v>
      </c>
      <c r="O21" s="35">
        <v>50</v>
      </c>
      <c r="P21" s="35">
        <v>0</v>
      </c>
    </row>
    <row r="22" spans="1:16" ht="15" thickBot="1" x14ac:dyDescent="0.35">
      <c r="A22" s="35">
        <v>1406838</v>
      </c>
      <c r="B22" s="36">
        <v>45875</v>
      </c>
      <c r="C22" s="35" t="s">
        <v>216</v>
      </c>
      <c r="D22" s="35">
        <v>7.51</v>
      </c>
      <c r="E22" s="35"/>
      <c r="F22" s="35">
        <v>-64.89</v>
      </c>
      <c r="J22" s="35">
        <v>5830</v>
      </c>
      <c r="K22" s="35" t="s">
        <v>82</v>
      </c>
      <c r="L22" s="35">
        <v>0</v>
      </c>
      <c r="M22" s="35">
        <v>50</v>
      </c>
      <c r="N22" s="35">
        <v>50</v>
      </c>
      <c r="O22" s="35">
        <v>50</v>
      </c>
      <c r="P22" s="35">
        <v>0</v>
      </c>
    </row>
    <row r="23" spans="1:16" ht="15" thickBot="1" x14ac:dyDescent="0.35">
      <c r="A23" s="35">
        <v>1406842</v>
      </c>
      <c r="B23" s="36">
        <v>45875</v>
      </c>
      <c r="C23" s="35" t="s">
        <v>249</v>
      </c>
      <c r="D23" s="35"/>
      <c r="E23" s="35">
        <v>50</v>
      </c>
      <c r="F23" s="35">
        <v>-14.89</v>
      </c>
      <c r="J23" s="35">
        <v>5831</v>
      </c>
      <c r="K23" s="35" t="s">
        <v>83</v>
      </c>
      <c r="L23" s="35">
        <v>0</v>
      </c>
      <c r="M23" s="35">
        <v>50</v>
      </c>
      <c r="N23" s="35">
        <v>50</v>
      </c>
      <c r="O23" s="35">
        <v>50</v>
      </c>
      <c r="P23" s="35">
        <v>0</v>
      </c>
    </row>
    <row r="24" spans="1:16" ht="15" thickBot="1" x14ac:dyDescent="0.35">
      <c r="A24" s="35">
        <v>1406845</v>
      </c>
      <c r="B24" s="36">
        <v>45875</v>
      </c>
      <c r="C24" s="35" t="s">
        <v>250</v>
      </c>
      <c r="D24" s="35">
        <v>7.51</v>
      </c>
      <c r="E24" s="35"/>
      <c r="F24" s="35">
        <v>-22.4</v>
      </c>
      <c r="J24" s="35">
        <v>5832</v>
      </c>
      <c r="K24" s="35" t="s">
        <v>84</v>
      </c>
      <c r="L24" s="35">
        <v>0</v>
      </c>
      <c r="M24" s="35">
        <v>50</v>
      </c>
      <c r="N24" s="35">
        <v>50</v>
      </c>
      <c r="O24" s="35">
        <v>50</v>
      </c>
      <c r="P24" s="35">
        <v>0</v>
      </c>
    </row>
    <row r="25" spans="1:16" ht="15" thickBot="1" x14ac:dyDescent="0.35">
      <c r="A25" s="35">
        <v>1406849</v>
      </c>
      <c r="B25" s="36">
        <v>45875</v>
      </c>
      <c r="C25" s="35" t="s">
        <v>251</v>
      </c>
      <c r="D25" s="35"/>
      <c r="E25" s="35">
        <v>50</v>
      </c>
      <c r="F25" s="35">
        <v>27.6</v>
      </c>
      <c r="J25" s="35">
        <v>5833</v>
      </c>
      <c r="K25" s="35" t="s">
        <v>85</v>
      </c>
      <c r="L25" s="35">
        <v>0</v>
      </c>
      <c r="M25" s="35">
        <v>50</v>
      </c>
      <c r="N25" s="35">
        <v>50</v>
      </c>
      <c r="O25" s="35">
        <v>50</v>
      </c>
      <c r="P25" s="35">
        <v>0</v>
      </c>
    </row>
    <row r="26" spans="1:16" ht="15" thickBot="1" x14ac:dyDescent="0.35">
      <c r="A26" s="35">
        <v>1406852</v>
      </c>
      <c r="B26" s="36">
        <v>45875</v>
      </c>
      <c r="C26" s="35" t="s">
        <v>252</v>
      </c>
      <c r="D26" s="35">
        <v>7.51</v>
      </c>
      <c r="E26" s="35"/>
      <c r="F26" s="35">
        <v>20.09</v>
      </c>
      <c r="J26" s="35">
        <v>5834</v>
      </c>
      <c r="K26" s="35" t="s">
        <v>86</v>
      </c>
      <c r="L26" s="35">
        <v>0</v>
      </c>
      <c r="M26" s="35">
        <v>50</v>
      </c>
      <c r="N26" s="35">
        <v>50</v>
      </c>
      <c r="O26" s="35">
        <v>50</v>
      </c>
      <c r="P26" s="35">
        <v>0</v>
      </c>
    </row>
    <row r="27" spans="1:16" ht="15" thickBot="1" x14ac:dyDescent="0.35">
      <c r="A27" s="35">
        <v>1406856</v>
      </c>
      <c r="B27" s="36">
        <v>45875</v>
      </c>
      <c r="C27" s="35" t="s">
        <v>253</v>
      </c>
      <c r="D27" s="35"/>
      <c r="E27" s="35">
        <v>50</v>
      </c>
      <c r="F27" s="35">
        <v>70.09</v>
      </c>
      <c r="J27" s="35"/>
      <c r="K27" s="35"/>
      <c r="L27" s="41">
        <v>230</v>
      </c>
      <c r="M27" s="41">
        <v>850</v>
      </c>
      <c r="N27" s="41">
        <v>1080</v>
      </c>
      <c r="O27" s="41">
        <v>650</v>
      </c>
      <c r="P27" s="41">
        <v>430</v>
      </c>
    </row>
    <row r="28" spans="1:16" ht="15" thickBot="1" x14ac:dyDescent="0.35">
      <c r="A28" s="35">
        <v>1406859</v>
      </c>
      <c r="B28" s="36">
        <v>45875</v>
      </c>
      <c r="C28" s="35" t="s">
        <v>254</v>
      </c>
      <c r="D28" s="35">
        <v>7.51</v>
      </c>
      <c r="E28" s="35"/>
      <c r="F28" s="35">
        <v>62.58</v>
      </c>
    </row>
    <row r="29" spans="1:16" ht="15" thickBot="1" x14ac:dyDescent="0.35">
      <c r="A29" s="38">
        <v>1407652</v>
      </c>
      <c r="B29" s="39">
        <v>45876</v>
      </c>
      <c r="C29" s="38" t="s">
        <v>255</v>
      </c>
      <c r="D29" s="38"/>
      <c r="E29" s="38">
        <v>50</v>
      </c>
      <c r="F29" s="38">
        <v>112.58</v>
      </c>
    </row>
    <row r="30" spans="1:16" ht="15" thickBot="1" x14ac:dyDescent="0.35">
      <c r="A30" s="35">
        <v>1407655</v>
      </c>
      <c r="B30" s="36">
        <v>45876</v>
      </c>
      <c r="C30" s="35" t="s">
        <v>256</v>
      </c>
      <c r="D30" s="35">
        <v>7.51</v>
      </c>
      <c r="E30" s="35"/>
      <c r="F30" s="35">
        <v>105.07</v>
      </c>
    </row>
    <row r="31" spans="1:16" ht="15" thickBot="1" x14ac:dyDescent="0.35">
      <c r="A31" s="35">
        <v>1407681</v>
      </c>
      <c r="B31" s="36">
        <v>45876</v>
      </c>
      <c r="C31" s="35" t="s">
        <v>238</v>
      </c>
      <c r="D31" s="35"/>
      <c r="E31" s="35">
        <v>50</v>
      </c>
      <c r="F31" s="35">
        <v>155.07</v>
      </c>
    </row>
    <row r="32" spans="1:16" ht="15" thickBot="1" x14ac:dyDescent="0.35">
      <c r="A32" s="35">
        <v>1407684</v>
      </c>
      <c r="B32" s="36">
        <v>45876</v>
      </c>
      <c r="C32" s="35" t="s">
        <v>239</v>
      </c>
      <c r="D32" s="35">
        <v>7.51</v>
      </c>
      <c r="E32" s="35"/>
      <c r="F32" s="35">
        <v>147.56</v>
      </c>
    </row>
    <row r="33" spans="1:6" ht="15" thickBot="1" x14ac:dyDescent="0.35">
      <c r="A33" s="35">
        <v>1407730</v>
      </c>
      <c r="B33" s="36">
        <v>45876</v>
      </c>
      <c r="C33" s="35" t="s">
        <v>257</v>
      </c>
      <c r="D33" s="35"/>
      <c r="E33" s="35">
        <v>50</v>
      </c>
      <c r="F33" s="35">
        <v>197.56</v>
      </c>
    </row>
    <row r="34" spans="1:6" ht="15" thickBot="1" x14ac:dyDescent="0.35">
      <c r="A34" s="35">
        <v>1407733</v>
      </c>
      <c r="B34" s="36">
        <v>45876</v>
      </c>
      <c r="C34" s="35" t="s">
        <v>258</v>
      </c>
      <c r="D34" s="35">
        <v>7.51</v>
      </c>
      <c r="E34" s="35"/>
      <c r="F34" s="35">
        <v>190.05</v>
      </c>
    </row>
    <row r="35" spans="1:6" ht="15" thickBot="1" x14ac:dyDescent="0.35">
      <c r="A35" s="35">
        <v>1414512</v>
      </c>
      <c r="B35" s="36">
        <v>45899</v>
      </c>
      <c r="C35" s="35" t="s">
        <v>87</v>
      </c>
      <c r="D35" s="35">
        <v>543</v>
      </c>
      <c r="E35" s="35"/>
      <c r="F35" s="35">
        <v>-352.95</v>
      </c>
    </row>
    <row r="36" spans="1:6" x14ac:dyDescent="0.3">
      <c r="A36" s="35"/>
      <c r="B36" s="35"/>
      <c r="C36" s="35"/>
      <c r="D36" s="37">
        <v>640.62</v>
      </c>
      <c r="E36" s="37">
        <v>650</v>
      </c>
      <c r="F36" s="37">
        <v>-352.95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60F94-01C6-4C1C-8DE0-9FEB24419DD2}">
  <dimension ref="A1:P50"/>
  <sheetViews>
    <sheetView topLeftCell="A14" workbookViewId="0">
      <selection activeCell="O10" sqref="O10:O26"/>
    </sheetView>
  </sheetViews>
  <sheetFormatPr defaultRowHeight="14.4" x14ac:dyDescent="0.3"/>
  <cols>
    <col min="1" max="1" width="9.5546875" bestFit="1" customWidth="1"/>
    <col min="2" max="2" width="12.5546875" bestFit="1" customWidth="1"/>
    <col min="3" max="3" width="35.33203125" customWidth="1"/>
    <col min="4" max="6" width="9" bestFit="1" customWidth="1"/>
  </cols>
  <sheetData>
    <row r="1" spans="1:16" x14ac:dyDescent="0.3">
      <c r="A1" s="30" t="s">
        <v>4</v>
      </c>
      <c r="B1" s="31"/>
      <c r="C1" s="31"/>
      <c r="D1" s="31"/>
      <c r="E1" s="31"/>
      <c r="F1" s="31"/>
      <c r="J1" s="30" t="s">
        <v>13</v>
      </c>
      <c r="K1" s="31"/>
      <c r="L1" s="31"/>
      <c r="M1" s="31"/>
      <c r="N1" s="31"/>
      <c r="O1" s="31"/>
      <c r="P1" s="31"/>
    </row>
    <row r="2" spans="1:16" x14ac:dyDescent="0.3">
      <c r="A2" s="31"/>
      <c r="B2" s="31"/>
      <c r="C2" s="31"/>
      <c r="D2" s="31"/>
      <c r="E2" s="31"/>
      <c r="F2" s="31"/>
      <c r="J2" s="40" t="s">
        <v>67</v>
      </c>
      <c r="K2" s="31"/>
      <c r="L2" s="31"/>
      <c r="M2" s="31"/>
      <c r="N2" s="31"/>
      <c r="O2" s="31"/>
      <c r="P2" s="31"/>
    </row>
    <row r="3" spans="1:16" x14ac:dyDescent="0.3">
      <c r="A3" s="32" t="s">
        <v>118</v>
      </c>
      <c r="B3" s="31"/>
      <c r="C3" s="31"/>
      <c r="D3" s="31"/>
      <c r="E3" s="31"/>
      <c r="F3" s="31"/>
      <c r="J3" s="40" t="s">
        <v>212</v>
      </c>
      <c r="K3" s="31"/>
      <c r="L3" s="31"/>
      <c r="M3" s="31"/>
      <c r="N3" s="31"/>
      <c r="O3" s="31"/>
      <c r="P3" s="31"/>
    </row>
    <row r="4" spans="1:16" x14ac:dyDescent="0.3">
      <c r="A4" s="31"/>
      <c r="B4" s="31"/>
      <c r="C4" s="31"/>
      <c r="D4" s="31"/>
      <c r="E4" s="31"/>
      <c r="F4" s="31"/>
      <c r="J4" s="40" t="s">
        <v>14</v>
      </c>
      <c r="K4" s="31"/>
      <c r="L4" s="31"/>
      <c r="M4" s="31"/>
      <c r="N4" s="31"/>
      <c r="O4" s="31"/>
      <c r="P4" s="31"/>
    </row>
    <row r="5" spans="1:16" x14ac:dyDescent="0.3">
      <c r="A5" s="33" t="s">
        <v>119</v>
      </c>
      <c r="B5" s="31"/>
      <c r="C5" s="31"/>
      <c r="D5" s="31"/>
      <c r="E5" s="31"/>
      <c r="F5" s="31"/>
      <c r="J5" s="31"/>
      <c r="K5" s="31"/>
      <c r="L5" s="31"/>
      <c r="M5" s="31"/>
      <c r="N5" s="31"/>
      <c r="O5" s="31"/>
      <c r="P5" s="31"/>
    </row>
    <row r="6" spans="1:16" x14ac:dyDescent="0.3">
      <c r="A6" s="33" t="s">
        <v>120</v>
      </c>
      <c r="B6" s="31"/>
      <c r="C6" s="31"/>
      <c r="D6" s="31"/>
      <c r="E6" s="31"/>
      <c r="F6" s="31"/>
      <c r="J6" s="31"/>
      <c r="K6" s="31"/>
      <c r="L6" s="31"/>
      <c r="M6" s="31"/>
      <c r="N6" s="31"/>
      <c r="O6" s="31"/>
      <c r="P6" s="31"/>
    </row>
    <row r="7" spans="1:16" x14ac:dyDescent="0.3">
      <c r="A7" s="33" t="s">
        <v>211</v>
      </c>
      <c r="B7" s="31"/>
      <c r="C7" s="31"/>
      <c r="D7" s="31"/>
      <c r="E7" s="31"/>
      <c r="F7" s="31"/>
      <c r="J7" s="31"/>
      <c r="K7" s="31"/>
      <c r="L7" s="31"/>
      <c r="M7" s="31"/>
      <c r="N7" s="31"/>
      <c r="O7" s="31"/>
      <c r="P7" s="31"/>
    </row>
    <row r="8" spans="1:16" x14ac:dyDescent="0.3">
      <c r="A8" s="34"/>
      <c r="B8" s="31"/>
      <c r="C8" s="31"/>
      <c r="D8" s="31"/>
      <c r="E8" s="31"/>
      <c r="F8" s="31"/>
      <c r="J8" s="40" t="s">
        <v>69</v>
      </c>
      <c r="K8" s="31"/>
      <c r="L8" s="31"/>
      <c r="M8" s="31"/>
      <c r="N8" s="31"/>
      <c r="O8" s="31"/>
      <c r="P8" s="31"/>
    </row>
    <row r="9" spans="1:16" ht="15" thickBot="1" x14ac:dyDescent="0.35">
      <c r="A9" s="5" t="s">
        <v>6</v>
      </c>
      <c r="B9" s="5" t="s">
        <v>7</v>
      </c>
      <c r="C9" s="5" t="s">
        <v>8</v>
      </c>
      <c r="D9" s="5" t="s">
        <v>9</v>
      </c>
      <c r="E9" s="5" t="s">
        <v>10</v>
      </c>
      <c r="F9" s="5" t="s">
        <v>11</v>
      </c>
      <c r="J9" s="12" t="s">
        <v>15</v>
      </c>
      <c r="K9" s="12" t="s">
        <v>16</v>
      </c>
      <c r="L9" s="12" t="s">
        <v>0</v>
      </c>
      <c r="M9" s="12" t="s">
        <v>17</v>
      </c>
      <c r="N9" s="12" t="s">
        <v>1</v>
      </c>
      <c r="O9" s="12" t="s">
        <v>2</v>
      </c>
      <c r="P9" s="12" t="s">
        <v>3</v>
      </c>
    </row>
    <row r="10" spans="1:16" ht="15" thickBot="1" x14ac:dyDescent="0.35">
      <c r="A10" s="35"/>
      <c r="B10" s="35"/>
      <c r="C10" s="35" t="s">
        <v>12</v>
      </c>
      <c r="D10" s="35"/>
      <c r="E10" s="35"/>
      <c r="F10" s="35">
        <v>-256.83</v>
      </c>
      <c r="J10" s="35">
        <v>5817</v>
      </c>
      <c r="K10" s="35" t="s">
        <v>70</v>
      </c>
      <c r="L10" s="35">
        <v>0</v>
      </c>
      <c r="M10" s="35">
        <v>50</v>
      </c>
      <c r="N10" s="35">
        <v>50</v>
      </c>
      <c r="O10" s="35">
        <v>100</v>
      </c>
      <c r="P10" s="35">
        <v>-50</v>
      </c>
    </row>
    <row r="11" spans="1:16" ht="15" thickBot="1" x14ac:dyDescent="0.35">
      <c r="A11" s="35">
        <v>1383040</v>
      </c>
      <c r="B11" s="36">
        <v>45810</v>
      </c>
      <c r="C11" s="35" t="s">
        <v>196</v>
      </c>
      <c r="D11" s="35"/>
      <c r="E11" s="35">
        <v>50</v>
      </c>
      <c r="F11" s="35">
        <v>-206.83</v>
      </c>
      <c r="J11" s="35">
        <v>5819</v>
      </c>
      <c r="K11" s="35" t="s">
        <v>71</v>
      </c>
      <c r="L11" s="35">
        <v>0</v>
      </c>
      <c r="M11" s="35">
        <v>50</v>
      </c>
      <c r="N11" s="35">
        <v>50</v>
      </c>
      <c r="O11" s="35">
        <v>50</v>
      </c>
      <c r="P11" s="35">
        <v>0</v>
      </c>
    </row>
    <row r="12" spans="1:16" ht="15" thickBot="1" x14ac:dyDescent="0.35">
      <c r="A12" s="35">
        <v>1383043</v>
      </c>
      <c r="B12" s="36">
        <v>45810</v>
      </c>
      <c r="C12" s="35" t="s">
        <v>197</v>
      </c>
      <c r="D12" s="35">
        <v>7.51</v>
      </c>
      <c r="E12" s="35"/>
      <c r="F12" s="35">
        <v>-214.34</v>
      </c>
      <c r="J12" s="35">
        <v>5820</v>
      </c>
      <c r="K12" s="35" t="s">
        <v>72</v>
      </c>
      <c r="L12" s="35">
        <v>0</v>
      </c>
      <c r="M12" s="35">
        <v>50</v>
      </c>
      <c r="N12" s="35">
        <v>50</v>
      </c>
      <c r="O12" s="35">
        <v>50</v>
      </c>
      <c r="P12" s="35">
        <v>0</v>
      </c>
    </row>
    <row r="13" spans="1:16" ht="15" thickBot="1" x14ac:dyDescent="0.35">
      <c r="A13" s="35">
        <v>1383047</v>
      </c>
      <c r="B13" s="36">
        <v>45810</v>
      </c>
      <c r="C13" s="35" t="s">
        <v>198</v>
      </c>
      <c r="D13" s="35"/>
      <c r="E13" s="35">
        <v>50</v>
      </c>
      <c r="F13" s="35">
        <v>-164.34</v>
      </c>
      <c r="J13" s="35">
        <v>5821</v>
      </c>
      <c r="K13" s="35" t="s">
        <v>73</v>
      </c>
      <c r="L13" s="35">
        <v>20</v>
      </c>
      <c r="M13" s="35">
        <v>50</v>
      </c>
      <c r="N13" s="35">
        <v>70</v>
      </c>
      <c r="O13" s="35">
        <v>50</v>
      </c>
      <c r="P13" s="35">
        <v>20</v>
      </c>
    </row>
    <row r="14" spans="1:16" ht="15" thickBot="1" x14ac:dyDescent="0.35">
      <c r="A14" s="35">
        <v>1383050</v>
      </c>
      <c r="B14" s="36">
        <v>45810</v>
      </c>
      <c r="C14" s="35" t="s">
        <v>199</v>
      </c>
      <c r="D14" s="35">
        <v>7.51</v>
      </c>
      <c r="E14" s="35"/>
      <c r="F14" s="35">
        <v>-171.85</v>
      </c>
      <c r="J14" s="35">
        <v>5822</v>
      </c>
      <c r="K14" s="35" t="s">
        <v>74</v>
      </c>
      <c r="L14" s="35">
        <v>50</v>
      </c>
      <c r="M14" s="35">
        <v>50</v>
      </c>
      <c r="N14" s="35">
        <v>100</v>
      </c>
      <c r="O14" s="35">
        <v>100</v>
      </c>
      <c r="P14" s="35">
        <v>0</v>
      </c>
    </row>
    <row r="15" spans="1:16" ht="15" thickBot="1" x14ac:dyDescent="0.35">
      <c r="A15" s="35">
        <v>1388386</v>
      </c>
      <c r="B15" s="36">
        <v>45812</v>
      </c>
      <c r="C15" s="35" t="s">
        <v>200</v>
      </c>
      <c r="D15" s="35"/>
      <c r="E15" s="35">
        <v>100</v>
      </c>
      <c r="F15" s="35">
        <v>-71.849999999999994</v>
      </c>
      <c r="J15" s="35">
        <v>5823</v>
      </c>
      <c r="K15" s="35" t="s">
        <v>75</v>
      </c>
      <c r="L15" s="35">
        <v>68</v>
      </c>
      <c r="M15" s="35">
        <v>50</v>
      </c>
      <c r="N15" s="35">
        <v>118</v>
      </c>
      <c r="O15" s="35">
        <v>50</v>
      </c>
      <c r="P15" s="35">
        <v>68</v>
      </c>
    </row>
    <row r="16" spans="1:16" ht="15" thickBot="1" x14ac:dyDescent="0.35">
      <c r="A16" s="35">
        <v>1388389</v>
      </c>
      <c r="B16" s="36">
        <v>45812</v>
      </c>
      <c r="C16" s="35" t="s">
        <v>201</v>
      </c>
      <c r="D16" s="35">
        <v>15.01</v>
      </c>
      <c r="E16" s="35"/>
      <c r="F16" s="35">
        <v>-86.86</v>
      </c>
      <c r="J16" s="35">
        <v>5824</v>
      </c>
      <c r="K16" s="35" t="s">
        <v>76</v>
      </c>
      <c r="L16" s="35">
        <v>0</v>
      </c>
      <c r="M16" s="35">
        <v>50</v>
      </c>
      <c r="N16" s="35">
        <v>50</v>
      </c>
      <c r="O16" s="35">
        <v>50</v>
      </c>
      <c r="P16" s="35">
        <v>0</v>
      </c>
    </row>
    <row r="17" spans="1:16" ht="15" thickBot="1" x14ac:dyDescent="0.35">
      <c r="A17" s="35">
        <v>1385227</v>
      </c>
      <c r="B17" s="36">
        <v>45813</v>
      </c>
      <c r="C17" s="35" t="s">
        <v>53</v>
      </c>
      <c r="D17" s="35"/>
      <c r="E17" s="35">
        <v>50</v>
      </c>
      <c r="F17" s="35">
        <v>-36.86</v>
      </c>
      <c r="J17" s="35">
        <v>5825</v>
      </c>
      <c r="K17" s="35" t="s">
        <v>77</v>
      </c>
      <c r="L17" s="35">
        <v>150</v>
      </c>
      <c r="M17" s="35">
        <v>50</v>
      </c>
      <c r="N17" s="35">
        <v>200</v>
      </c>
      <c r="O17" s="35">
        <v>200</v>
      </c>
      <c r="P17" s="35">
        <v>0</v>
      </c>
    </row>
    <row r="18" spans="1:16" ht="15" thickBot="1" x14ac:dyDescent="0.35">
      <c r="A18" s="35">
        <v>1385230</v>
      </c>
      <c r="B18" s="36">
        <v>45813</v>
      </c>
      <c r="C18" s="35" t="s">
        <v>54</v>
      </c>
      <c r="D18" s="35">
        <v>7.51</v>
      </c>
      <c r="E18" s="35"/>
      <c r="F18" s="35">
        <v>-44.37</v>
      </c>
      <c r="J18" s="35">
        <v>5826</v>
      </c>
      <c r="K18" s="35" t="s">
        <v>78</v>
      </c>
      <c r="L18" s="35">
        <v>0</v>
      </c>
      <c r="M18" s="35">
        <v>50</v>
      </c>
      <c r="N18" s="35">
        <v>50</v>
      </c>
      <c r="O18" s="35">
        <v>0</v>
      </c>
      <c r="P18" s="35">
        <v>50</v>
      </c>
    </row>
    <row r="19" spans="1:16" ht="15" thickBot="1" x14ac:dyDescent="0.35">
      <c r="A19" s="35">
        <v>1385234</v>
      </c>
      <c r="B19" s="36">
        <v>45813</v>
      </c>
      <c r="C19" s="35" t="s">
        <v>47</v>
      </c>
      <c r="D19" s="35"/>
      <c r="E19" s="35">
        <v>50</v>
      </c>
      <c r="F19" s="35">
        <v>5.63</v>
      </c>
      <c r="J19" s="35">
        <v>5827</v>
      </c>
      <c r="K19" s="35" t="s">
        <v>79</v>
      </c>
      <c r="L19" s="35">
        <v>0</v>
      </c>
      <c r="M19" s="35">
        <v>50</v>
      </c>
      <c r="N19" s="35">
        <v>50</v>
      </c>
      <c r="O19" s="35">
        <v>0</v>
      </c>
      <c r="P19" s="35">
        <v>50</v>
      </c>
    </row>
    <row r="20" spans="1:16" ht="15" thickBot="1" x14ac:dyDescent="0.35">
      <c r="A20" s="35">
        <v>1385237</v>
      </c>
      <c r="B20" s="36">
        <v>45813</v>
      </c>
      <c r="C20" s="35" t="s">
        <v>48</v>
      </c>
      <c r="D20" s="35">
        <v>7.51</v>
      </c>
      <c r="E20" s="35"/>
      <c r="F20" s="35">
        <v>-1.88</v>
      </c>
      <c r="J20" s="35">
        <v>5828</v>
      </c>
      <c r="K20" s="35" t="s">
        <v>80</v>
      </c>
      <c r="L20" s="35">
        <v>20</v>
      </c>
      <c r="M20" s="35">
        <v>50</v>
      </c>
      <c r="N20" s="35">
        <v>70</v>
      </c>
      <c r="O20" s="35">
        <v>70</v>
      </c>
      <c r="P20" s="35">
        <v>0</v>
      </c>
    </row>
    <row r="21" spans="1:16" ht="15" thickBot="1" x14ac:dyDescent="0.35">
      <c r="A21" s="35">
        <v>1385241</v>
      </c>
      <c r="B21" s="36">
        <v>45813</v>
      </c>
      <c r="C21" s="35" t="s">
        <v>51</v>
      </c>
      <c r="D21" s="35"/>
      <c r="E21" s="35">
        <v>50</v>
      </c>
      <c r="F21" s="35">
        <v>48.12</v>
      </c>
      <c r="J21" s="38">
        <v>5829</v>
      </c>
      <c r="K21" s="38" t="s">
        <v>81</v>
      </c>
      <c r="L21" s="38">
        <v>0</v>
      </c>
      <c r="M21" s="38">
        <v>50</v>
      </c>
      <c r="N21" s="38">
        <v>50</v>
      </c>
      <c r="O21" s="38">
        <v>100</v>
      </c>
      <c r="P21" s="38">
        <v>-50</v>
      </c>
    </row>
    <row r="22" spans="1:16" ht="15" thickBot="1" x14ac:dyDescent="0.35">
      <c r="A22" s="35">
        <v>1385244</v>
      </c>
      <c r="B22" s="36">
        <v>45813</v>
      </c>
      <c r="C22" s="35" t="s">
        <v>52</v>
      </c>
      <c r="D22" s="35">
        <v>7.51</v>
      </c>
      <c r="E22" s="35"/>
      <c r="F22" s="35">
        <v>40.61</v>
      </c>
      <c r="J22" s="35">
        <v>5830</v>
      </c>
      <c r="K22" s="35" t="s">
        <v>82</v>
      </c>
      <c r="L22" s="35">
        <v>-50</v>
      </c>
      <c r="M22" s="35">
        <v>50</v>
      </c>
      <c r="N22" s="35">
        <v>0</v>
      </c>
      <c r="O22" s="35">
        <v>0</v>
      </c>
      <c r="P22" s="35">
        <v>0</v>
      </c>
    </row>
    <row r="23" spans="1:16" ht="15" thickBot="1" x14ac:dyDescent="0.35">
      <c r="A23" s="35">
        <v>1385248</v>
      </c>
      <c r="B23" s="36">
        <v>45813</v>
      </c>
      <c r="C23" s="35" t="s">
        <v>35</v>
      </c>
      <c r="D23" s="35"/>
      <c r="E23" s="35">
        <v>50</v>
      </c>
      <c r="F23" s="35">
        <v>90.61</v>
      </c>
      <c r="J23" s="35">
        <v>5831</v>
      </c>
      <c r="K23" s="35" t="s">
        <v>83</v>
      </c>
      <c r="L23" s="35">
        <v>0</v>
      </c>
      <c r="M23" s="35">
        <v>50</v>
      </c>
      <c r="N23" s="35">
        <v>50</v>
      </c>
      <c r="O23" s="35">
        <v>50</v>
      </c>
      <c r="P23" s="35">
        <v>0</v>
      </c>
    </row>
    <row r="24" spans="1:16" ht="15" thickBot="1" x14ac:dyDescent="0.35">
      <c r="A24" s="35">
        <v>1385251</v>
      </c>
      <c r="B24" s="36">
        <v>45813</v>
      </c>
      <c r="C24" s="35" t="s">
        <v>36</v>
      </c>
      <c r="D24" s="35">
        <v>7.51</v>
      </c>
      <c r="E24" s="35"/>
      <c r="F24" s="35">
        <v>83.1</v>
      </c>
      <c r="J24" s="35">
        <v>5832</v>
      </c>
      <c r="K24" s="35" t="s">
        <v>84</v>
      </c>
      <c r="L24" s="35">
        <v>0</v>
      </c>
      <c r="M24" s="35">
        <v>50</v>
      </c>
      <c r="N24" s="35">
        <v>50</v>
      </c>
      <c r="O24" s="35">
        <v>50</v>
      </c>
      <c r="P24" s="35">
        <v>0</v>
      </c>
    </row>
    <row r="25" spans="1:16" ht="15" thickBot="1" x14ac:dyDescent="0.35">
      <c r="A25" s="35">
        <v>1385255</v>
      </c>
      <c r="B25" s="36">
        <v>45813</v>
      </c>
      <c r="C25" s="35" t="s">
        <v>43</v>
      </c>
      <c r="D25" s="35"/>
      <c r="E25" s="35">
        <v>50</v>
      </c>
      <c r="F25" s="35">
        <v>133.1</v>
      </c>
      <c r="J25" s="35">
        <v>5833</v>
      </c>
      <c r="K25" s="35" t="s">
        <v>85</v>
      </c>
      <c r="L25" s="35">
        <v>0</v>
      </c>
      <c r="M25" s="35">
        <v>50</v>
      </c>
      <c r="N25" s="35">
        <v>50</v>
      </c>
      <c r="O25" s="35">
        <v>50</v>
      </c>
      <c r="P25" s="35">
        <v>0</v>
      </c>
    </row>
    <row r="26" spans="1:16" ht="15" thickBot="1" x14ac:dyDescent="0.35">
      <c r="A26" s="35">
        <v>1385258</v>
      </c>
      <c r="B26" s="36">
        <v>45813</v>
      </c>
      <c r="C26" s="35" t="s">
        <v>44</v>
      </c>
      <c r="D26" s="35">
        <v>7.51</v>
      </c>
      <c r="E26" s="35"/>
      <c r="F26" s="35">
        <v>125.59</v>
      </c>
      <c r="J26" s="35">
        <v>5834</v>
      </c>
      <c r="K26" s="35" t="s">
        <v>86</v>
      </c>
      <c r="L26" s="35">
        <v>0</v>
      </c>
      <c r="M26" s="35">
        <v>50</v>
      </c>
      <c r="N26" s="35">
        <v>50</v>
      </c>
      <c r="O26" s="35">
        <v>50</v>
      </c>
      <c r="P26" s="35">
        <v>0</v>
      </c>
    </row>
    <row r="27" spans="1:16" ht="15" thickBot="1" x14ac:dyDescent="0.35">
      <c r="A27" s="35">
        <v>1385262</v>
      </c>
      <c r="B27" s="36">
        <v>45813</v>
      </c>
      <c r="C27" s="35" t="s">
        <v>41</v>
      </c>
      <c r="D27" s="35"/>
      <c r="E27" s="35">
        <v>50</v>
      </c>
      <c r="F27" s="35">
        <v>175.59</v>
      </c>
      <c r="J27" s="35"/>
      <c r="K27" s="35"/>
      <c r="L27" s="41">
        <v>258</v>
      </c>
      <c r="M27" s="41">
        <v>850</v>
      </c>
      <c r="N27" s="41">
        <v>1108</v>
      </c>
      <c r="O27" s="41">
        <v>1020</v>
      </c>
      <c r="P27" s="41">
        <v>88</v>
      </c>
    </row>
    <row r="28" spans="1:16" ht="15" thickBot="1" x14ac:dyDescent="0.35">
      <c r="A28" s="35">
        <v>1385265</v>
      </c>
      <c r="B28" s="36">
        <v>45813</v>
      </c>
      <c r="C28" s="35" t="s">
        <v>42</v>
      </c>
      <c r="D28" s="35">
        <v>7.51</v>
      </c>
      <c r="E28" s="35"/>
      <c r="F28" s="35">
        <v>168.08</v>
      </c>
      <c r="P28">
        <f>P10+P21</f>
        <v>-100</v>
      </c>
    </row>
    <row r="29" spans="1:16" ht="15" thickBot="1" x14ac:dyDescent="0.35">
      <c r="A29" s="35">
        <v>1385269</v>
      </c>
      <c r="B29" s="36">
        <v>45813</v>
      </c>
      <c r="C29" s="35" t="s">
        <v>49</v>
      </c>
      <c r="D29" s="35"/>
      <c r="E29" s="35">
        <v>50</v>
      </c>
      <c r="F29" s="35">
        <v>218.08</v>
      </c>
      <c r="P29">
        <f>P28*-1</f>
        <v>100</v>
      </c>
    </row>
    <row r="30" spans="1:16" ht="15" thickBot="1" x14ac:dyDescent="0.35">
      <c r="A30" s="35">
        <v>1385272</v>
      </c>
      <c r="B30" s="36">
        <v>45813</v>
      </c>
      <c r="C30" s="35" t="s">
        <v>50</v>
      </c>
      <c r="D30" s="35">
        <v>7.51</v>
      </c>
      <c r="E30" s="35"/>
      <c r="F30" s="35">
        <v>210.57</v>
      </c>
      <c r="P30">
        <f>P27+P29</f>
        <v>188</v>
      </c>
    </row>
    <row r="31" spans="1:16" ht="15" thickBot="1" x14ac:dyDescent="0.35">
      <c r="A31" s="35">
        <v>1385283</v>
      </c>
      <c r="B31" s="36">
        <v>45813</v>
      </c>
      <c r="C31" s="35" t="s">
        <v>33</v>
      </c>
      <c r="D31" s="35"/>
      <c r="E31" s="35">
        <v>50</v>
      </c>
      <c r="F31" s="35">
        <v>260.57</v>
      </c>
    </row>
    <row r="32" spans="1:16" ht="15" thickBot="1" x14ac:dyDescent="0.35">
      <c r="A32" s="35">
        <v>1385286</v>
      </c>
      <c r="B32" s="36">
        <v>45813</v>
      </c>
      <c r="C32" s="35" t="s">
        <v>34</v>
      </c>
      <c r="D32" s="35">
        <v>7.51</v>
      </c>
      <c r="E32" s="35"/>
      <c r="F32" s="35">
        <v>253.06</v>
      </c>
    </row>
    <row r="33" spans="1:6" ht="15" thickBot="1" x14ac:dyDescent="0.35">
      <c r="A33" s="35">
        <v>1385290</v>
      </c>
      <c r="B33" s="36">
        <v>45813</v>
      </c>
      <c r="C33" s="35" t="s">
        <v>25</v>
      </c>
      <c r="D33" s="35"/>
      <c r="E33" s="35">
        <v>50</v>
      </c>
      <c r="F33" s="35">
        <v>303.06</v>
      </c>
    </row>
    <row r="34" spans="1:6" ht="15" thickBot="1" x14ac:dyDescent="0.35">
      <c r="A34" s="35">
        <v>1385293</v>
      </c>
      <c r="B34" s="36">
        <v>45813</v>
      </c>
      <c r="C34" s="35" t="s">
        <v>26</v>
      </c>
      <c r="D34" s="35">
        <v>7.51</v>
      </c>
      <c r="E34" s="35"/>
      <c r="F34" s="35">
        <v>295.55</v>
      </c>
    </row>
    <row r="35" spans="1:6" ht="15" thickBot="1" x14ac:dyDescent="0.35">
      <c r="A35" s="35">
        <v>1385311</v>
      </c>
      <c r="B35" s="36">
        <v>45813</v>
      </c>
      <c r="C35" s="35" t="s">
        <v>43</v>
      </c>
      <c r="D35" s="35"/>
      <c r="E35" s="35">
        <v>50</v>
      </c>
      <c r="F35" s="35">
        <v>345.55</v>
      </c>
    </row>
    <row r="36" spans="1:6" ht="15" thickBot="1" x14ac:dyDescent="0.35">
      <c r="A36" s="35">
        <v>1385314</v>
      </c>
      <c r="B36" s="36">
        <v>45813</v>
      </c>
      <c r="C36" s="35" t="s">
        <v>44</v>
      </c>
      <c r="D36" s="35">
        <v>7.51</v>
      </c>
      <c r="E36" s="35"/>
      <c r="F36" s="35">
        <v>338.04</v>
      </c>
    </row>
    <row r="37" spans="1:6" ht="15" thickBot="1" x14ac:dyDescent="0.35">
      <c r="A37" s="35">
        <v>1385693</v>
      </c>
      <c r="B37" s="36">
        <v>45814</v>
      </c>
      <c r="C37" s="35" t="s">
        <v>202</v>
      </c>
      <c r="D37" s="35"/>
      <c r="E37" s="35">
        <v>50</v>
      </c>
      <c r="F37" s="35">
        <v>388.04</v>
      </c>
    </row>
    <row r="38" spans="1:6" ht="15" thickBot="1" x14ac:dyDescent="0.35">
      <c r="A38" s="35">
        <v>1385696</v>
      </c>
      <c r="B38" s="36">
        <v>45814</v>
      </c>
      <c r="C38" s="35" t="s">
        <v>203</v>
      </c>
      <c r="D38" s="35">
        <v>7.51</v>
      </c>
      <c r="E38" s="35"/>
      <c r="F38" s="35">
        <v>380.53</v>
      </c>
    </row>
    <row r="39" spans="1:6" ht="15" thickBot="1" x14ac:dyDescent="0.35">
      <c r="A39" s="35">
        <v>1388131</v>
      </c>
      <c r="B39" s="36">
        <v>45817</v>
      </c>
      <c r="C39" s="35" t="s">
        <v>204</v>
      </c>
      <c r="D39" s="35">
        <v>58</v>
      </c>
      <c r="E39" s="35"/>
      <c r="F39" s="35">
        <v>322.52999999999997</v>
      </c>
    </row>
    <row r="40" spans="1:6" ht="15" thickBot="1" x14ac:dyDescent="0.35">
      <c r="A40" s="35">
        <v>1389759</v>
      </c>
      <c r="B40" s="36">
        <v>45825</v>
      </c>
      <c r="C40" s="35" t="s">
        <v>177</v>
      </c>
      <c r="D40" s="35">
        <v>80</v>
      </c>
      <c r="E40" s="35"/>
      <c r="F40" s="35">
        <v>242.53</v>
      </c>
    </row>
    <row r="41" spans="1:6" ht="15" thickBot="1" x14ac:dyDescent="0.35">
      <c r="A41" s="35">
        <v>1389442</v>
      </c>
      <c r="B41" s="36">
        <v>45828</v>
      </c>
      <c r="C41" s="35" t="s">
        <v>205</v>
      </c>
      <c r="D41" s="35"/>
      <c r="E41" s="35">
        <v>200</v>
      </c>
      <c r="F41" s="35">
        <v>442.53</v>
      </c>
    </row>
    <row r="42" spans="1:6" ht="15" thickBot="1" x14ac:dyDescent="0.35">
      <c r="A42" s="35">
        <v>1389445</v>
      </c>
      <c r="B42" s="36">
        <v>45828</v>
      </c>
      <c r="C42" s="35" t="s">
        <v>206</v>
      </c>
      <c r="D42" s="35">
        <v>30.02</v>
      </c>
      <c r="E42" s="35"/>
      <c r="F42" s="35">
        <v>412.51</v>
      </c>
    </row>
    <row r="43" spans="1:6" ht="15" thickBot="1" x14ac:dyDescent="0.35">
      <c r="A43" s="35">
        <v>1389449</v>
      </c>
      <c r="B43" s="36">
        <v>45828</v>
      </c>
      <c r="C43" s="35" t="s">
        <v>207</v>
      </c>
      <c r="D43" s="35"/>
      <c r="E43" s="35">
        <v>20</v>
      </c>
      <c r="F43" s="35">
        <v>432.51</v>
      </c>
    </row>
    <row r="44" spans="1:6" ht="15" thickBot="1" x14ac:dyDescent="0.35">
      <c r="A44" s="38">
        <v>1389452</v>
      </c>
      <c r="B44" s="39">
        <v>45828</v>
      </c>
      <c r="C44" s="38" t="s">
        <v>208</v>
      </c>
      <c r="D44" s="38">
        <v>3</v>
      </c>
      <c r="E44" s="38"/>
      <c r="F44" s="38">
        <v>429.51</v>
      </c>
    </row>
    <row r="45" spans="1:6" ht="15" thickBot="1" x14ac:dyDescent="0.35">
      <c r="A45" s="35">
        <v>1389959</v>
      </c>
      <c r="B45" s="36">
        <v>45828</v>
      </c>
      <c r="C45" s="35" t="s">
        <v>114</v>
      </c>
      <c r="D45" s="35">
        <v>20</v>
      </c>
      <c r="E45" s="35"/>
      <c r="F45" s="35">
        <v>409.51</v>
      </c>
    </row>
    <row r="46" spans="1:6" ht="15" thickBot="1" x14ac:dyDescent="0.35">
      <c r="A46" s="35">
        <v>1389961</v>
      </c>
      <c r="B46" s="36">
        <v>45828</v>
      </c>
      <c r="C46" s="35" t="s">
        <v>60</v>
      </c>
      <c r="D46" s="35">
        <v>200</v>
      </c>
      <c r="E46" s="35"/>
      <c r="F46" s="35">
        <v>209.51</v>
      </c>
    </row>
    <row r="47" spans="1:6" ht="15" thickBot="1" x14ac:dyDescent="0.35">
      <c r="A47" s="35">
        <v>1390477</v>
      </c>
      <c r="B47" s="36">
        <v>45835</v>
      </c>
      <c r="C47" s="35" t="s">
        <v>209</v>
      </c>
      <c r="D47" s="35"/>
      <c r="E47" s="35">
        <v>50</v>
      </c>
      <c r="F47" s="35">
        <v>259.51</v>
      </c>
    </row>
    <row r="48" spans="1:6" ht="15" thickBot="1" x14ac:dyDescent="0.35">
      <c r="A48" s="35">
        <v>1390480</v>
      </c>
      <c r="B48" s="36">
        <v>45835</v>
      </c>
      <c r="C48" s="35" t="s">
        <v>210</v>
      </c>
      <c r="D48" s="35">
        <v>7.51</v>
      </c>
      <c r="E48" s="35"/>
      <c r="F48" s="35">
        <v>252</v>
      </c>
    </row>
    <row r="49" spans="1:6" ht="15" thickBot="1" x14ac:dyDescent="0.35">
      <c r="A49" s="35">
        <v>1393461</v>
      </c>
      <c r="B49" s="36">
        <v>45838</v>
      </c>
      <c r="C49" s="35" t="s">
        <v>87</v>
      </c>
      <c r="D49" s="35">
        <v>543</v>
      </c>
      <c r="E49" s="35"/>
      <c r="F49" s="35">
        <v>-291</v>
      </c>
    </row>
    <row r="50" spans="1:6" x14ac:dyDescent="0.3">
      <c r="A50" s="35"/>
      <c r="B50" s="35"/>
      <c r="C50" s="35"/>
      <c r="D50" s="37">
        <v>1054.17</v>
      </c>
      <c r="E50" s="37">
        <v>1020</v>
      </c>
      <c r="F50" s="37">
        <v>-291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CFA01-FB04-4B2B-9A84-A34C2C6340BC}">
  <sheetPr codeName="Sheet1"/>
  <dimension ref="A1:X46"/>
  <sheetViews>
    <sheetView topLeftCell="A35" workbookViewId="0">
      <selection activeCell="C45" sqref="C45"/>
    </sheetView>
  </sheetViews>
  <sheetFormatPr defaultRowHeight="14.4" x14ac:dyDescent="0.3"/>
  <cols>
    <col min="1" max="1" width="9" bestFit="1" customWidth="1"/>
    <col min="2" max="2" width="11.44140625" bestFit="1" customWidth="1"/>
    <col min="3" max="3" width="27.21875" customWidth="1"/>
    <col min="4" max="6" width="9" bestFit="1" customWidth="1"/>
  </cols>
  <sheetData>
    <row r="1" spans="1:24" x14ac:dyDescent="0.3">
      <c r="A1" s="17" t="s">
        <v>4</v>
      </c>
      <c r="B1" s="18"/>
      <c r="C1" s="18"/>
      <c r="D1" s="18"/>
      <c r="E1" s="18"/>
      <c r="F1" s="18"/>
      <c r="J1" s="17" t="s">
        <v>4</v>
      </c>
      <c r="K1" s="18"/>
      <c r="L1" s="18"/>
      <c r="M1" s="18"/>
      <c r="N1" s="18"/>
      <c r="O1" s="18"/>
      <c r="R1" s="17" t="s">
        <v>13</v>
      </c>
      <c r="S1" s="18"/>
      <c r="T1" s="18"/>
      <c r="U1" s="18"/>
      <c r="V1" s="18"/>
      <c r="W1" s="18"/>
      <c r="X1" s="18"/>
    </row>
    <row r="2" spans="1:24" x14ac:dyDescent="0.3">
      <c r="A2" s="18"/>
      <c r="B2" s="18"/>
      <c r="C2" s="18"/>
      <c r="D2" s="18"/>
      <c r="E2" s="18"/>
      <c r="F2" s="18"/>
      <c r="J2" s="18"/>
      <c r="K2" s="18"/>
      <c r="L2" s="18"/>
      <c r="M2" s="18"/>
      <c r="N2" s="18"/>
      <c r="O2" s="18"/>
      <c r="R2" s="11" t="s">
        <v>67</v>
      </c>
      <c r="S2" s="18"/>
      <c r="T2" s="18"/>
      <c r="U2" s="18"/>
      <c r="V2" s="18"/>
      <c r="W2" s="18"/>
      <c r="X2" s="18"/>
    </row>
    <row r="3" spans="1:24" x14ac:dyDescent="0.3">
      <c r="A3" s="19" t="s">
        <v>94</v>
      </c>
      <c r="B3" s="18"/>
      <c r="C3" s="18"/>
      <c r="D3" s="18"/>
      <c r="E3" s="18"/>
      <c r="F3" s="18"/>
      <c r="J3" s="19" t="s">
        <v>94</v>
      </c>
      <c r="K3" s="18"/>
      <c r="L3" s="18"/>
      <c r="M3" s="18"/>
      <c r="N3" s="18"/>
      <c r="O3" s="18"/>
      <c r="R3" s="11" t="s">
        <v>195</v>
      </c>
      <c r="S3" s="18"/>
      <c r="T3" s="18"/>
      <c r="U3" s="18"/>
      <c r="V3" s="18"/>
      <c r="W3" s="18"/>
      <c r="X3" s="18"/>
    </row>
    <row r="4" spans="1:24" x14ac:dyDescent="0.3">
      <c r="A4" s="18"/>
      <c r="B4" s="18"/>
      <c r="C4" s="18"/>
      <c r="D4" s="18"/>
      <c r="E4" s="18"/>
      <c r="F4" s="18"/>
      <c r="J4" s="18"/>
      <c r="K4" s="18"/>
      <c r="L4" s="18"/>
      <c r="M4" s="18"/>
      <c r="N4" s="18"/>
      <c r="O4" s="18"/>
      <c r="R4" s="11" t="s">
        <v>14</v>
      </c>
      <c r="S4" s="18"/>
      <c r="T4" s="18"/>
      <c r="U4" s="18"/>
      <c r="V4" s="18"/>
      <c r="W4" s="18"/>
      <c r="X4" s="18"/>
    </row>
    <row r="5" spans="1:24" x14ac:dyDescent="0.3">
      <c r="A5" s="20" t="s">
        <v>95</v>
      </c>
      <c r="B5" s="18"/>
      <c r="C5" s="18"/>
      <c r="D5" s="18"/>
      <c r="E5" s="18"/>
      <c r="F5" s="18"/>
      <c r="J5" s="20" t="s">
        <v>98</v>
      </c>
      <c r="K5" s="18"/>
      <c r="L5" s="18"/>
      <c r="M5" s="18"/>
      <c r="N5" s="18"/>
      <c r="O5" s="18"/>
      <c r="R5" s="18"/>
      <c r="S5" s="18"/>
      <c r="T5" s="18"/>
      <c r="U5" s="18"/>
      <c r="V5" s="18"/>
      <c r="W5" s="18"/>
      <c r="X5" s="18"/>
    </row>
    <row r="6" spans="1:24" x14ac:dyDescent="0.3">
      <c r="A6" s="20" t="s">
        <v>96</v>
      </c>
      <c r="B6" s="18"/>
      <c r="C6" s="18"/>
      <c r="D6" s="18"/>
      <c r="E6" s="18"/>
      <c r="F6" s="18"/>
      <c r="J6" s="20" t="s">
        <v>99</v>
      </c>
      <c r="K6" s="18"/>
      <c r="L6" s="18"/>
      <c r="M6" s="18"/>
      <c r="N6" s="18"/>
      <c r="O6" s="18"/>
      <c r="R6" s="18"/>
      <c r="S6" s="18"/>
      <c r="T6" s="18"/>
      <c r="U6" s="18"/>
      <c r="V6" s="18"/>
      <c r="W6" s="18"/>
      <c r="X6" s="18"/>
    </row>
    <row r="7" spans="1:24" x14ac:dyDescent="0.3">
      <c r="A7" s="20" t="s">
        <v>194</v>
      </c>
      <c r="B7" s="18"/>
      <c r="C7" s="18"/>
      <c r="D7" s="18"/>
      <c r="E7" s="18"/>
      <c r="F7" s="18"/>
      <c r="J7" s="20" t="s">
        <v>194</v>
      </c>
      <c r="K7" s="18"/>
      <c r="L7" s="18"/>
      <c r="M7" s="18"/>
      <c r="N7" s="18"/>
      <c r="O7" s="18"/>
      <c r="R7" s="18"/>
      <c r="S7" s="18"/>
      <c r="T7" s="18"/>
      <c r="U7" s="18"/>
      <c r="V7" s="18"/>
      <c r="W7" s="18"/>
      <c r="X7" s="18"/>
    </row>
    <row r="8" spans="1:24" x14ac:dyDescent="0.3">
      <c r="A8" s="21"/>
      <c r="B8" s="18"/>
      <c r="C8" s="18"/>
      <c r="D8" s="18"/>
      <c r="E8" s="18"/>
      <c r="F8" s="18"/>
      <c r="J8" s="21"/>
      <c r="K8" s="18"/>
      <c r="L8" s="18"/>
      <c r="M8" s="18"/>
      <c r="N8" s="18"/>
      <c r="O8" s="18"/>
      <c r="R8" s="11" t="s">
        <v>69</v>
      </c>
      <c r="S8" s="18"/>
      <c r="T8" s="18"/>
      <c r="U8" s="18"/>
      <c r="V8" s="18"/>
      <c r="W8" s="18"/>
      <c r="X8" s="18"/>
    </row>
    <row r="9" spans="1:24" ht="15" thickBot="1" x14ac:dyDescent="0.35">
      <c r="A9" s="22" t="s">
        <v>6</v>
      </c>
      <c r="B9" s="22" t="s">
        <v>7</v>
      </c>
      <c r="C9" s="22" t="s">
        <v>8</v>
      </c>
      <c r="D9" s="22" t="s">
        <v>9</v>
      </c>
      <c r="E9" s="22" t="s">
        <v>10</v>
      </c>
      <c r="F9" s="22" t="s">
        <v>11</v>
      </c>
      <c r="J9" s="22" t="s">
        <v>6</v>
      </c>
      <c r="K9" s="22" t="s">
        <v>7</v>
      </c>
      <c r="L9" s="22" t="s">
        <v>8</v>
      </c>
      <c r="M9" s="22" t="s">
        <v>9</v>
      </c>
      <c r="N9" s="22" t="s">
        <v>10</v>
      </c>
      <c r="O9" s="22" t="s">
        <v>11</v>
      </c>
      <c r="R9" s="28" t="s">
        <v>15</v>
      </c>
      <c r="S9" s="28" t="s">
        <v>16</v>
      </c>
      <c r="T9" s="28" t="s">
        <v>0</v>
      </c>
      <c r="U9" s="28" t="s">
        <v>17</v>
      </c>
      <c r="V9" s="28" t="s">
        <v>1</v>
      </c>
      <c r="W9" s="28" t="s">
        <v>2</v>
      </c>
      <c r="X9" s="28" t="s">
        <v>3</v>
      </c>
    </row>
    <row r="10" spans="1:24" ht="15" thickBot="1" x14ac:dyDescent="0.35">
      <c r="A10" s="23"/>
      <c r="B10" s="23"/>
      <c r="C10" s="23" t="s">
        <v>12</v>
      </c>
      <c r="D10" s="23"/>
      <c r="E10" s="23"/>
      <c r="F10" s="23">
        <v>-502.62</v>
      </c>
      <c r="J10" s="23"/>
      <c r="K10" s="23"/>
      <c r="L10" s="23" t="s">
        <v>12</v>
      </c>
      <c r="M10" s="23"/>
      <c r="N10" s="23"/>
      <c r="O10" s="23">
        <v>0</v>
      </c>
      <c r="R10" s="23">
        <v>5817</v>
      </c>
      <c r="S10" s="23" t="s">
        <v>70</v>
      </c>
      <c r="T10" s="23">
        <v>-50</v>
      </c>
      <c r="U10" s="23">
        <v>50</v>
      </c>
      <c r="V10" s="23">
        <v>0</v>
      </c>
      <c r="W10" s="23">
        <v>0</v>
      </c>
      <c r="X10" s="23">
        <v>0</v>
      </c>
    </row>
    <row r="11" spans="1:24" ht="15" thickBot="1" x14ac:dyDescent="0.35">
      <c r="A11" s="23">
        <v>1372604</v>
      </c>
      <c r="B11" s="24">
        <v>45779</v>
      </c>
      <c r="C11" s="23" t="s">
        <v>63</v>
      </c>
      <c r="D11" s="23">
        <v>45</v>
      </c>
      <c r="E11" s="23"/>
      <c r="F11" s="23">
        <v>-547.62</v>
      </c>
      <c r="J11" s="23"/>
      <c r="K11" s="23"/>
      <c r="L11" s="23"/>
      <c r="M11" s="27">
        <v>0</v>
      </c>
      <c r="N11" s="27">
        <v>0</v>
      </c>
      <c r="O11" s="27">
        <v>0</v>
      </c>
      <c r="R11" s="23">
        <v>5819</v>
      </c>
      <c r="S11" s="23" t="s">
        <v>71</v>
      </c>
      <c r="T11" s="23">
        <v>0</v>
      </c>
      <c r="U11" s="23">
        <v>50</v>
      </c>
      <c r="V11" s="23">
        <v>50</v>
      </c>
      <c r="W11" s="23">
        <v>50</v>
      </c>
      <c r="X11" s="23">
        <v>0</v>
      </c>
    </row>
    <row r="12" spans="1:24" ht="15" thickBot="1" x14ac:dyDescent="0.35">
      <c r="A12" s="23">
        <v>1372857</v>
      </c>
      <c r="B12" s="24">
        <v>45783</v>
      </c>
      <c r="C12" s="23" t="s">
        <v>47</v>
      </c>
      <c r="D12" s="23"/>
      <c r="E12" s="23">
        <v>50</v>
      </c>
      <c r="F12" s="23">
        <v>-497.62</v>
      </c>
      <c r="R12" s="23">
        <v>5820</v>
      </c>
      <c r="S12" s="23" t="s">
        <v>72</v>
      </c>
      <c r="T12" s="23">
        <v>0</v>
      </c>
      <c r="U12" s="23">
        <v>50</v>
      </c>
      <c r="V12" s="23">
        <v>50</v>
      </c>
      <c r="W12" s="23">
        <v>50</v>
      </c>
      <c r="X12" s="23">
        <v>0</v>
      </c>
    </row>
    <row r="13" spans="1:24" ht="15" thickBot="1" x14ac:dyDescent="0.35">
      <c r="A13" s="23">
        <v>1372860</v>
      </c>
      <c r="B13" s="24">
        <v>45783</v>
      </c>
      <c r="C13" s="23" t="s">
        <v>48</v>
      </c>
      <c r="D13" s="23">
        <v>7.51</v>
      </c>
      <c r="E13" s="23"/>
      <c r="F13" s="23">
        <v>-505.13</v>
      </c>
      <c r="R13" s="23">
        <v>5821</v>
      </c>
      <c r="S13" s="23" t="s">
        <v>73</v>
      </c>
      <c r="T13" s="23">
        <v>65</v>
      </c>
      <c r="U13" s="23">
        <v>55</v>
      </c>
      <c r="V13" s="23">
        <v>120</v>
      </c>
      <c r="W13" s="23">
        <v>100</v>
      </c>
      <c r="X13" s="23">
        <v>20</v>
      </c>
    </row>
    <row r="14" spans="1:24" ht="15" thickBot="1" x14ac:dyDescent="0.35">
      <c r="A14" s="23">
        <v>1372864</v>
      </c>
      <c r="B14" s="24">
        <v>45783</v>
      </c>
      <c r="C14" s="23" t="s">
        <v>39</v>
      </c>
      <c r="D14" s="23"/>
      <c r="E14" s="23">
        <v>50</v>
      </c>
      <c r="F14" s="23">
        <v>-455.13</v>
      </c>
      <c r="R14" s="23">
        <v>5822</v>
      </c>
      <c r="S14" s="23" t="s">
        <v>74</v>
      </c>
      <c r="T14" s="23">
        <v>50</v>
      </c>
      <c r="U14" s="23">
        <v>50</v>
      </c>
      <c r="V14" s="23">
        <v>100</v>
      </c>
      <c r="W14" s="23">
        <v>50</v>
      </c>
      <c r="X14" s="23">
        <v>50</v>
      </c>
    </row>
    <row r="15" spans="1:24" ht="15" thickBot="1" x14ac:dyDescent="0.35">
      <c r="A15" s="23">
        <v>1372867</v>
      </c>
      <c r="B15" s="24">
        <v>45783</v>
      </c>
      <c r="C15" s="23" t="s">
        <v>40</v>
      </c>
      <c r="D15" s="23">
        <v>7.51</v>
      </c>
      <c r="E15" s="23"/>
      <c r="F15" s="23">
        <v>-462.64</v>
      </c>
      <c r="R15" s="23">
        <v>5823</v>
      </c>
      <c r="S15" s="23" t="s">
        <v>75</v>
      </c>
      <c r="T15" s="23">
        <v>110</v>
      </c>
      <c r="U15" s="23">
        <v>55</v>
      </c>
      <c r="V15" s="23">
        <v>165</v>
      </c>
      <c r="W15" s="23">
        <v>97</v>
      </c>
      <c r="X15" s="23">
        <v>68</v>
      </c>
    </row>
    <row r="16" spans="1:24" ht="15" thickBot="1" x14ac:dyDescent="0.35">
      <c r="A16" s="23">
        <v>1372871</v>
      </c>
      <c r="B16" s="24">
        <v>45783</v>
      </c>
      <c r="C16" s="23" t="s">
        <v>53</v>
      </c>
      <c r="D16" s="23"/>
      <c r="E16" s="23">
        <v>50</v>
      </c>
      <c r="F16" s="23">
        <v>-412.64</v>
      </c>
      <c r="R16" s="23">
        <v>5824</v>
      </c>
      <c r="S16" s="23" t="s">
        <v>76</v>
      </c>
      <c r="T16" s="23">
        <v>0</v>
      </c>
      <c r="U16" s="23">
        <v>50</v>
      </c>
      <c r="V16" s="23">
        <v>50</v>
      </c>
      <c r="W16" s="23">
        <v>50</v>
      </c>
      <c r="X16" s="23">
        <v>0</v>
      </c>
    </row>
    <row r="17" spans="1:24" ht="15" thickBot="1" x14ac:dyDescent="0.35">
      <c r="A17" s="23">
        <v>1372874</v>
      </c>
      <c r="B17" s="24">
        <v>45783</v>
      </c>
      <c r="C17" s="23" t="s">
        <v>54</v>
      </c>
      <c r="D17" s="23">
        <v>7.51</v>
      </c>
      <c r="E17" s="23"/>
      <c r="F17" s="23">
        <v>-420.15</v>
      </c>
      <c r="R17" s="23">
        <v>5825</v>
      </c>
      <c r="S17" s="23" t="s">
        <v>77</v>
      </c>
      <c r="T17" s="23">
        <v>100</v>
      </c>
      <c r="U17" s="23">
        <v>50</v>
      </c>
      <c r="V17" s="23">
        <v>150</v>
      </c>
      <c r="W17" s="23">
        <v>0</v>
      </c>
      <c r="X17" s="23">
        <v>150</v>
      </c>
    </row>
    <row r="18" spans="1:24" ht="15" thickBot="1" x14ac:dyDescent="0.35">
      <c r="A18" s="23">
        <v>1372878</v>
      </c>
      <c r="B18" s="24">
        <v>45783</v>
      </c>
      <c r="C18" s="23" t="s">
        <v>41</v>
      </c>
      <c r="D18" s="23"/>
      <c r="E18" s="23">
        <v>50</v>
      </c>
      <c r="F18" s="23">
        <v>-370.15</v>
      </c>
      <c r="R18" s="23">
        <v>5826</v>
      </c>
      <c r="S18" s="23" t="s">
        <v>78</v>
      </c>
      <c r="T18" s="23">
        <v>165</v>
      </c>
      <c r="U18" s="23">
        <v>55</v>
      </c>
      <c r="V18" s="23">
        <v>220</v>
      </c>
      <c r="W18" s="23">
        <v>220</v>
      </c>
      <c r="X18" s="23">
        <v>0</v>
      </c>
    </row>
    <row r="19" spans="1:24" ht="15" thickBot="1" x14ac:dyDescent="0.35">
      <c r="A19" s="23">
        <v>1372881</v>
      </c>
      <c r="B19" s="24">
        <v>45783</v>
      </c>
      <c r="C19" s="23" t="s">
        <v>42</v>
      </c>
      <c r="D19" s="23">
        <v>7.51</v>
      </c>
      <c r="E19" s="23"/>
      <c r="F19" s="23">
        <v>-377.66</v>
      </c>
      <c r="R19" s="25">
        <v>5827</v>
      </c>
      <c r="S19" s="25" t="s">
        <v>79</v>
      </c>
      <c r="T19" s="25">
        <v>0</v>
      </c>
      <c r="U19" s="25">
        <v>50</v>
      </c>
      <c r="V19" s="25">
        <v>50</v>
      </c>
      <c r="W19" s="25">
        <v>50</v>
      </c>
      <c r="X19" s="25">
        <v>0</v>
      </c>
    </row>
    <row r="20" spans="1:24" ht="15" thickBot="1" x14ac:dyDescent="0.35">
      <c r="A20" s="23">
        <v>1372885</v>
      </c>
      <c r="B20" s="24">
        <v>45783</v>
      </c>
      <c r="C20" s="23" t="s">
        <v>49</v>
      </c>
      <c r="D20" s="23"/>
      <c r="E20" s="23">
        <v>50</v>
      </c>
      <c r="F20" s="23">
        <v>-327.66000000000003</v>
      </c>
      <c r="R20" s="23">
        <v>5828</v>
      </c>
      <c r="S20" s="23" t="s">
        <v>80</v>
      </c>
      <c r="T20" s="23">
        <v>20</v>
      </c>
      <c r="U20" s="23">
        <v>50</v>
      </c>
      <c r="V20" s="23">
        <v>70</v>
      </c>
      <c r="W20" s="23">
        <v>50</v>
      </c>
      <c r="X20" s="23">
        <v>20</v>
      </c>
    </row>
    <row r="21" spans="1:24" ht="15" thickBot="1" x14ac:dyDescent="0.35">
      <c r="A21" s="23">
        <v>1372888</v>
      </c>
      <c r="B21" s="24">
        <v>45783</v>
      </c>
      <c r="C21" s="23" t="s">
        <v>50</v>
      </c>
      <c r="D21" s="23">
        <v>7.51</v>
      </c>
      <c r="E21" s="23"/>
      <c r="F21" s="23">
        <v>-335.17</v>
      </c>
      <c r="R21" s="23">
        <v>5829</v>
      </c>
      <c r="S21" s="23" t="s">
        <v>81</v>
      </c>
      <c r="T21" s="23">
        <v>50</v>
      </c>
      <c r="U21" s="23">
        <v>50</v>
      </c>
      <c r="V21" s="23">
        <v>100</v>
      </c>
      <c r="W21" s="23">
        <v>100</v>
      </c>
      <c r="X21" s="23">
        <v>0</v>
      </c>
    </row>
    <row r="22" spans="1:24" ht="15" thickBot="1" x14ac:dyDescent="0.35">
      <c r="A22" s="23">
        <v>1372892</v>
      </c>
      <c r="B22" s="24">
        <v>45783</v>
      </c>
      <c r="C22" s="23" t="s">
        <v>45</v>
      </c>
      <c r="D22" s="23"/>
      <c r="E22" s="23">
        <v>50</v>
      </c>
      <c r="F22" s="23">
        <v>-285.17</v>
      </c>
      <c r="R22" s="23">
        <v>5830</v>
      </c>
      <c r="S22" s="23" t="s">
        <v>82</v>
      </c>
      <c r="T22" s="23">
        <v>-50</v>
      </c>
      <c r="U22" s="23">
        <v>50</v>
      </c>
      <c r="V22" s="23">
        <v>0</v>
      </c>
      <c r="W22" s="23">
        <v>50</v>
      </c>
      <c r="X22" s="23">
        <v>-50</v>
      </c>
    </row>
    <row r="23" spans="1:24" ht="15" thickBot="1" x14ac:dyDescent="0.35">
      <c r="A23" s="23">
        <v>1372895</v>
      </c>
      <c r="B23" s="24">
        <v>45783</v>
      </c>
      <c r="C23" s="23" t="s">
        <v>46</v>
      </c>
      <c r="D23" s="23">
        <v>7.51</v>
      </c>
      <c r="E23" s="23"/>
      <c r="F23" s="23">
        <v>-292.68</v>
      </c>
      <c r="R23" s="23">
        <v>5831</v>
      </c>
      <c r="S23" s="23" t="s">
        <v>83</v>
      </c>
      <c r="T23" s="23">
        <v>0</v>
      </c>
      <c r="U23" s="23">
        <v>50</v>
      </c>
      <c r="V23" s="23">
        <v>50</v>
      </c>
      <c r="W23" s="23">
        <v>50</v>
      </c>
      <c r="X23" s="23">
        <v>0</v>
      </c>
    </row>
    <row r="24" spans="1:24" ht="15" thickBot="1" x14ac:dyDescent="0.35">
      <c r="A24" s="23">
        <v>1372899</v>
      </c>
      <c r="B24" s="24">
        <v>45783</v>
      </c>
      <c r="C24" s="23" t="s">
        <v>35</v>
      </c>
      <c r="D24" s="23"/>
      <c r="E24" s="23">
        <v>50</v>
      </c>
      <c r="F24" s="23">
        <v>-242.68</v>
      </c>
      <c r="R24" s="23">
        <v>5832</v>
      </c>
      <c r="S24" s="23" t="s">
        <v>84</v>
      </c>
      <c r="T24" s="23">
        <v>0</v>
      </c>
      <c r="U24" s="23">
        <v>50</v>
      </c>
      <c r="V24" s="23">
        <v>50</v>
      </c>
      <c r="W24" s="23">
        <v>50</v>
      </c>
      <c r="X24" s="23">
        <v>0</v>
      </c>
    </row>
    <row r="25" spans="1:24" ht="15" thickBot="1" x14ac:dyDescent="0.35">
      <c r="A25" s="23">
        <v>1372902</v>
      </c>
      <c r="B25" s="24">
        <v>45783</v>
      </c>
      <c r="C25" s="23" t="s">
        <v>36</v>
      </c>
      <c r="D25" s="23">
        <v>7.51</v>
      </c>
      <c r="E25" s="23"/>
      <c r="F25" s="23">
        <v>-250.19</v>
      </c>
      <c r="R25" s="23">
        <v>5833</v>
      </c>
      <c r="S25" s="23" t="s">
        <v>85</v>
      </c>
      <c r="T25" s="23">
        <v>0</v>
      </c>
      <c r="U25" s="23">
        <v>50</v>
      </c>
      <c r="V25" s="23">
        <v>50</v>
      </c>
      <c r="W25" s="23">
        <v>50</v>
      </c>
      <c r="X25" s="23">
        <v>0</v>
      </c>
    </row>
    <row r="26" spans="1:24" ht="15" thickBot="1" x14ac:dyDescent="0.35">
      <c r="A26" s="23">
        <v>1372906</v>
      </c>
      <c r="B26" s="24">
        <v>45783</v>
      </c>
      <c r="C26" s="23" t="s">
        <v>25</v>
      </c>
      <c r="D26" s="23"/>
      <c r="E26" s="23">
        <v>50</v>
      </c>
      <c r="F26" s="23">
        <v>-200.19</v>
      </c>
      <c r="R26" s="23">
        <v>5834</v>
      </c>
      <c r="S26" s="23" t="s">
        <v>86</v>
      </c>
      <c r="T26" s="23">
        <v>0</v>
      </c>
      <c r="U26" s="23">
        <v>50</v>
      </c>
      <c r="V26" s="23">
        <v>50</v>
      </c>
      <c r="W26" s="23">
        <v>50</v>
      </c>
      <c r="X26" s="23">
        <v>0</v>
      </c>
    </row>
    <row r="27" spans="1:24" ht="15" thickBot="1" x14ac:dyDescent="0.35">
      <c r="A27" s="23">
        <v>1372909</v>
      </c>
      <c r="B27" s="24">
        <v>45783</v>
      </c>
      <c r="C27" s="23" t="s">
        <v>26</v>
      </c>
      <c r="D27" s="23">
        <v>7.51</v>
      </c>
      <c r="E27" s="23"/>
      <c r="F27" s="23">
        <v>-207.7</v>
      </c>
      <c r="R27" s="23"/>
      <c r="S27" s="23"/>
      <c r="T27" s="29">
        <v>460</v>
      </c>
      <c r="U27" s="29">
        <v>865</v>
      </c>
      <c r="V27" s="29">
        <v>1325</v>
      </c>
      <c r="W27" s="29">
        <v>1067</v>
      </c>
      <c r="X27" s="29">
        <v>258</v>
      </c>
    </row>
    <row r="28" spans="1:24" ht="15" thickBot="1" x14ac:dyDescent="0.35">
      <c r="A28" s="23">
        <v>1373217</v>
      </c>
      <c r="B28" s="24">
        <v>45783</v>
      </c>
      <c r="C28" s="23" t="s">
        <v>181</v>
      </c>
      <c r="D28" s="23"/>
      <c r="E28" s="23">
        <v>50</v>
      </c>
      <c r="F28" s="23">
        <v>-157.69999999999999</v>
      </c>
      <c r="X28">
        <f>X22</f>
        <v>-50</v>
      </c>
    </row>
    <row r="29" spans="1:24" ht="15" thickBot="1" x14ac:dyDescent="0.35">
      <c r="A29" s="23">
        <v>1373220</v>
      </c>
      <c r="B29" s="24">
        <v>45783</v>
      </c>
      <c r="C29" s="23" t="s">
        <v>182</v>
      </c>
      <c r="D29" s="23">
        <v>7.51</v>
      </c>
      <c r="E29" s="23"/>
      <c r="F29" s="23">
        <v>-165.21</v>
      </c>
      <c r="X29">
        <f>X28*-1</f>
        <v>50</v>
      </c>
    </row>
    <row r="30" spans="1:24" ht="15" thickBot="1" x14ac:dyDescent="0.35">
      <c r="A30" s="23">
        <v>1378069</v>
      </c>
      <c r="B30" s="24">
        <v>45783</v>
      </c>
      <c r="C30" s="23" t="s">
        <v>183</v>
      </c>
      <c r="D30" s="23"/>
      <c r="E30" s="23">
        <v>100</v>
      </c>
      <c r="F30" s="23">
        <v>-65.209999999999994</v>
      </c>
      <c r="X30">
        <f>X27+X29</f>
        <v>308</v>
      </c>
    </row>
    <row r="31" spans="1:24" ht="15" thickBot="1" x14ac:dyDescent="0.35">
      <c r="A31" s="23">
        <v>1378072</v>
      </c>
      <c r="B31" s="24">
        <v>45783</v>
      </c>
      <c r="C31" s="23" t="s">
        <v>184</v>
      </c>
      <c r="D31" s="23">
        <v>15.01</v>
      </c>
      <c r="E31" s="23"/>
      <c r="F31" s="23">
        <v>-80.22</v>
      </c>
    </row>
    <row r="32" spans="1:24" ht="15" thickBot="1" x14ac:dyDescent="0.35">
      <c r="A32" s="23">
        <v>1375930</v>
      </c>
      <c r="B32" s="24">
        <v>45785</v>
      </c>
      <c r="C32" s="23" t="s">
        <v>114</v>
      </c>
      <c r="D32" s="23">
        <v>15</v>
      </c>
      <c r="E32" s="23"/>
      <c r="F32" s="23">
        <v>-95.22</v>
      </c>
    </row>
    <row r="33" spans="1:6" ht="15" thickBot="1" x14ac:dyDescent="0.35">
      <c r="A33" s="23">
        <v>1375645</v>
      </c>
      <c r="B33" s="24">
        <v>45786</v>
      </c>
      <c r="C33" s="23" t="s">
        <v>185</v>
      </c>
      <c r="D33" s="23"/>
      <c r="E33" s="23">
        <v>220</v>
      </c>
      <c r="F33" s="23">
        <v>124.78</v>
      </c>
    </row>
    <row r="34" spans="1:6" ht="15" thickBot="1" x14ac:dyDescent="0.35">
      <c r="A34" s="23">
        <v>1375648</v>
      </c>
      <c r="B34" s="24">
        <v>45786</v>
      </c>
      <c r="C34" s="23" t="s">
        <v>186</v>
      </c>
      <c r="D34" s="23">
        <v>33.020000000000003</v>
      </c>
      <c r="E34" s="23"/>
      <c r="F34" s="23">
        <v>91.76</v>
      </c>
    </row>
    <row r="35" spans="1:6" ht="15" thickBot="1" x14ac:dyDescent="0.35">
      <c r="A35" s="23">
        <v>1376239</v>
      </c>
      <c r="B35" s="24">
        <v>45789</v>
      </c>
      <c r="C35" s="23" t="s">
        <v>187</v>
      </c>
      <c r="D35" s="23"/>
      <c r="E35" s="23">
        <v>97</v>
      </c>
      <c r="F35" s="23">
        <v>188.76</v>
      </c>
    </row>
    <row r="36" spans="1:6" ht="15" thickBot="1" x14ac:dyDescent="0.35">
      <c r="A36" s="23">
        <v>1376242</v>
      </c>
      <c r="B36" s="24">
        <v>45789</v>
      </c>
      <c r="C36" s="23" t="s">
        <v>188</v>
      </c>
      <c r="D36" s="23">
        <v>14.56</v>
      </c>
      <c r="E36" s="23"/>
      <c r="F36" s="23">
        <v>174.2</v>
      </c>
    </row>
    <row r="37" spans="1:6" ht="15" thickBot="1" x14ac:dyDescent="0.35">
      <c r="A37" s="23">
        <v>1376269</v>
      </c>
      <c r="B37" s="24">
        <v>45789</v>
      </c>
      <c r="C37" s="23" t="s">
        <v>189</v>
      </c>
      <c r="D37" s="23"/>
      <c r="E37" s="23">
        <v>50</v>
      </c>
      <c r="F37" s="23">
        <v>224.2</v>
      </c>
    </row>
    <row r="38" spans="1:6" ht="15" thickBot="1" x14ac:dyDescent="0.35">
      <c r="A38" s="23">
        <v>1376272</v>
      </c>
      <c r="B38" s="24">
        <v>45789</v>
      </c>
      <c r="C38" s="23" t="s">
        <v>190</v>
      </c>
      <c r="D38" s="23">
        <v>7.51</v>
      </c>
      <c r="E38" s="23"/>
      <c r="F38" s="23">
        <v>216.69</v>
      </c>
    </row>
    <row r="39" spans="1:6" ht="15" thickBot="1" x14ac:dyDescent="0.35">
      <c r="A39" s="23">
        <v>1376297</v>
      </c>
      <c r="B39" s="24">
        <v>45789</v>
      </c>
      <c r="C39" s="23" t="s">
        <v>191</v>
      </c>
      <c r="D39" s="23"/>
      <c r="E39" s="23">
        <v>50</v>
      </c>
      <c r="F39" s="23">
        <v>266.69</v>
      </c>
    </row>
    <row r="40" spans="1:6" ht="15" thickBot="1" x14ac:dyDescent="0.35">
      <c r="A40" s="23">
        <v>1376300</v>
      </c>
      <c r="B40" s="24">
        <v>45789</v>
      </c>
      <c r="C40" s="23" t="s">
        <v>192</v>
      </c>
      <c r="D40" s="23">
        <v>7.51</v>
      </c>
      <c r="E40" s="23"/>
      <c r="F40" s="23">
        <v>259.18</v>
      </c>
    </row>
    <row r="41" spans="1:6" ht="15" thickBot="1" x14ac:dyDescent="0.35">
      <c r="A41" s="25">
        <v>1377947</v>
      </c>
      <c r="B41" s="26">
        <v>45792</v>
      </c>
      <c r="C41" s="25" t="s">
        <v>193</v>
      </c>
      <c r="D41" s="25">
        <v>8</v>
      </c>
      <c r="E41" s="25"/>
      <c r="F41" s="25">
        <v>251.18</v>
      </c>
    </row>
    <row r="42" spans="1:6" ht="15" thickBot="1" x14ac:dyDescent="0.35">
      <c r="A42" s="23">
        <v>1380083</v>
      </c>
      <c r="B42" s="24">
        <v>45804</v>
      </c>
      <c r="C42" s="23" t="s">
        <v>114</v>
      </c>
      <c r="D42" s="23">
        <v>50</v>
      </c>
      <c r="E42" s="23"/>
      <c r="F42" s="23">
        <v>201.18</v>
      </c>
    </row>
    <row r="43" spans="1:6" ht="15" thickBot="1" x14ac:dyDescent="0.35">
      <c r="A43" s="23">
        <v>1379945</v>
      </c>
      <c r="B43" s="24">
        <v>45805</v>
      </c>
      <c r="C43" s="23" t="s">
        <v>29</v>
      </c>
      <c r="D43" s="23"/>
      <c r="E43" s="23">
        <v>100</v>
      </c>
      <c r="F43" s="23">
        <v>301.18</v>
      </c>
    </row>
    <row r="44" spans="1:6" ht="15" thickBot="1" x14ac:dyDescent="0.35">
      <c r="A44" s="23">
        <v>1379948</v>
      </c>
      <c r="B44" s="24">
        <v>45805</v>
      </c>
      <c r="C44" s="23" t="s">
        <v>30</v>
      </c>
      <c r="D44" s="23">
        <v>15.01</v>
      </c>
      <c r="E44" s="23"/>
      <c r="F44" s="23">
        <v>286.17</v>
      </c>
    </row>
    <row r="45" spans="1:6" ht="15" thickBot="1" x14ac:dyDescent="0.35">
      <c r="A45" s="23">
        <v>1382718</v>
      </c>
      <c r="B45" s="24">
        <v>45807</v>
      </c>
      <c r="C45" s="23" t="s">
        <v>87</v>
      </c>
      <c r="D45" s="23">
        <v>543</v>
      </c>
      <c r="E45" s="23"/>
      <c r="F45" s="23">
        <v>-256.83</v>
      </c>
    </row>
    <row r="46" spans="1:6" x14ac:dyDescent="0.3">
      <c r="A46" s="23"/>
      <c r="B46" s="23"/>
      <c r="C46" s="23"/>
      <c r="D46" s="27">
        <v>821.21</v>
      </c>
      <c r="E46" s="27">
        <v>1067</v>
      </c>
      <c r="F46" s="27">
        <v>-256.83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40B0D-2A59-4BA5-AC2E-729E2F5642D3}">
  <sheetPr codeName="Sheet3"/>
  <dimension ref="A1:W38"/>
  <sheetViews>
    <sheetView topLeftCell="E6" workbookViewId="0">
      <selection activeCell="V10" sqref="V10:V26"/>
    </sheetView>
  </sheetViews>
  <sheetFormatPr defaultRowHeight="14.4" x14ac:dyDescent="0.3"/>
  <cols>
    <col min="1" max="1" width="9" bestFit="1" customWidth="1"/>
    <col min="2" max="2" width="11.44140625" bestFit="1" customWidth="1"/>
    <col min="4" max="6" width="9" bestFit="1" customWidth="1"/>
  </cols>
  <sheetData>
    <row r="1" spans="1:23" x14ac:dyDescent="0.3">
      <c r="A1" s="17" t="s">
        <v>4</v>
      </c>
      <c r="B1" s="18"/>
      <c r="C1" s="18"/>
      <c r="D1" s="18"/>
      <c r="E1" s="18"/>
      <c r="F1" s="18"/>
      <c r="I1" s="17" t="s">
        <v>4</v>
      </c>
      <c r="J1" s="18"/>
      <c r="K1" s="18"/>
      <c r="L1" s="18"/>
      <c r="M1" s="18"/>
      <c r="N1" s="18"/>
      <c r="Q1" s="17" t="s">
        <v>13</v>
      </c>
      <c r="R1" s="18"/>
      <c r="S1" s="18"/>
      <c r="T1" s="18"/>
      <c r="U1" s="18"/>
      <c r="V1" s="18"/>
      <c r="W1" s="18"/>
    </row>
    <row r="2" spans="1:23" x14ac:dyDescent="0.3">
      <c r="A2" s="18"/>
      <c r="B2" s="18"/>
      <c r="C2" s="18"/>
      <c r="D2" s="18"/>
      <c r="E2" s="18"/>
      <c r="F2" s="18"/>
      <c r="I2" s="18"/>
      <c r="J2" s="18"/>
      <c r="K2" s="18"/>
      <c r="L2" s="18"/>
      <c r="M2" s="18"/>
      <c r="N2" s="18"/>
      <c r="Q2" s="11" t="s">
        <v>67</v>
      </c>
      <c r="R2" s="18"/>
      <c r="S2" s="18"/>
      <c r="T2" s="18"/>
      <c r="U2" s="18"/>
      <c r="V2" s="18"/>
      <c r="W2" s="18"/>
    </row>
    <row r="3" spans="1:23" x14ac:dyDescent="0.3">
      <c r="A3" s="19" t="s">
        <v>94</v>
      </c>
      <c r="B3" s="18"/>
      <c r="C3" s="18"/>
      <c r="D3" s="18"/>
      <c r="E3" s="18"/>
      <c r="F3" s="18"/>
      <c r="I3" s="19" t="s">
        <v>94</v>
      </c>
      <c r="J3" s="18"/>
      <c r="K3" s="18"/>
      <c r="L3" s="18"/>
      <c r="M3" s="18"/>
      <c r="N3" s="18"/>
      <c r="Q3" s="11" t="s">
        <v>180</v>
      </c>
      <c r="R3" s="18"/>
      <c r="S3" s="18"/>
      <c r="T3" s="18"/>
      <c r="U3" s="18"/>
      <c r="V3" s="18"/>
      <c r="W3" s="18"/>
    </row>
    <row r="4" spans="1:23" x14ac:dyDescent="0.3">
      <c r="A4" s="18"/>
      <c r="B4" s="18"/>
      <c r="C4" s="18"/>
      <c r="D4" s="18"/>
      <c r="E4" s="18"/>
      <c r="F4" s="18"/>
      <c r="I4" s="18"/>
      <c r="J4" s="18"/>
      <c r="K4" s="18"/>
      <c r="L4" s="18"/>
      <c r="M4" s="18"/>
      <c r="N4" s="18"/>
      <c r="Q4" s="11" t="s">
        <v>14</v>
      </c>
      <c r="R4" s="18"/>
      <c r="S4" s="18"/>
      <c r="T4" s="18"/>
      <c r="U4" s="18"/>
      <c r="V4" s="18"/>
      <c r="W4" s="18"/>
    </row>
    <row r="5" spans="1:23" x14ac:dyDescent="0.3">
      <c r="A5" s="20" t="s">
        <v>95</v>
      </c>
      <c r="B5" s="18"/>
      <c r="C5" s="18"/>
      <c r="D5" s="18"/>
      <c r="E5" s="18"/>
      <c r="F5" s="18"/>
      <c r="I5" s="20" t="s">
        <v>98</v>
      </c>
      <c r="J5" s="18"/>
      <c r="K5" s="18"/>
      <c r="L5" s="18"/>
      <c r="M5" s="18"/>
      <c r="N5" s="18"/>
      <c r="Q5" s="18"/>
      <c r="R5" s="18"/>
      <c r="S5" s="18"/>
      <c r="T5" s="18"/>
      <c r="U5" s="18"/>
      <c r="V5" s="18"/>
      <c r="W5" s="18"/>
    </row>
    <row r="6" spans="1:23" x14ac:dyDescent="0.3">
      <c r="A6" s="20" t="s">
        <v>96</v>
      </c>
      <c r="B6" s="18"/>
      <c r="C6" s="18"/>
      <c r="D6" s="18"/>
      <c r="E6" s="18"/>
      <c r="F6" s="18"/>
      <c r="I6" s="20" t="s">
        <v>99</v>
      </c>
      <c r="J6" s="18"/>
      <c r="K6" s="18"/>
      <c r="L6" s="18"/>
      <c r="M6" s="18"/>
      <c r="N6" s="18"/>
      <c r="Q6" s="18"/>
      <c r="R6" s="18"/>
      <c r="S6" s="18"/>
      <c r="T6" s="18"/>
      <c r="U6" s="18"/>
      <c r="V6" s="18"/>
      <c r="W6" s="18"/>
    </row>
    <row r="7" spans="1:23" x14ac:dyDescent="0.3">
      <c r="A7" s="20" t="s">
        <v>179</v>
      </c>
      <c r="B7" s="18"/>
      <c r="C7" s="18"/>
      <c r="D7" s="18"/>
      <c r="E7" s="18"/>
      <c r="F7" s="18"/>
      <c r="I7" s="20" t="s">
        <v>179</v>
      </c>
      <c r="J7" s="18"/>
      <c r="K7" s="18"/>
      <c r="L7" s="18"/>
      <c r="M7" s="18"/>
      <c r="N7" s="18"/>
      <c r="Q7" s="18"/>
      <c r="R7" s="18"/>
      <c r="S7" s="18"/>
      <c r="T7" s="18"/>
      <c r="U7" s="18"/>
      <c r="V7" s="18"/>
      <c r="W7" s="18"/>
    </row>
    <row r="8" spans="1:23" x14ac:dyDescent="0.3">
      <c r="A8" s="21"/>
      <c r="B8" s="18"/>
      <c r="C8" s="18"/>
      <c r="D8" s="18"/>
      <c r="E8" s="18"/>
      <c r="F8" s="18"/>
      <c r="I8" s="21"/>
      <c r="J8" s="18"/>
      <c r="K8" s="18"/>
      <c r="L8" s="18"/>
      <c r="M8" s="18"/>
      <c r="N8" s="18"/>
      <c r="Q8" s="11" t="s">
        <v>69</v>
      </c>
      <c r="R8" s="18"/>
      <c r="S8" s="18"/>
      <c r="T8" s="18"/>
      <c r="U8" s="18"/>
      <c r="V8" s="18"/>
      <c r="W8" s="18"/>
    </row>
    <row r="9" spans="1:23" ht="15" thickBot="1" x14ac:dyDescent="0.35">
      <c r="A9" s="22" t="s">
        <v>6</v>
      </c>
      <c r="B9" s="22" t="s">
        <v>7</v>
      </c>
      <c r="C9" s="22" t="s">
        <v>8</v>
      </c>
      <c r="D9" s="22" t="s">
        <v>9</v>
      </c>
      <c r="E9" s="22" t="s">
        <v>10</v>
      </c>
      <c r="F9" s="22" t="s">
        <v>11</v>
      </c>
      <c r="I9" s="22" t="s">
        <v>6</v>
      </c>
      <c r="J9" s="22" t="s">
        <v>7</v>
      </c>
      <c r="K9" s="22" t="s">
        <v>8</v>
      </c>
      <c r="L9" s="22" t="s">
        <v>9</v>
      </c>
      <c r="M9" s="22" t="s">
        <v>10</v>
      </c>
      <c r="N9" s="22" t="s">
        <v>11</v>
      </c>
      <c r="Q9" s="28" t="s">
        <v>15</v>
      </c>
      <c r="R9" s="28" t="s">
        <v>16</v>
      </c>
      <c r="S9" s="28" t="s">
        <v>0</v>
      </c>
      <c r="T9" s="28" t="s">
        <v>17</v>
      </c>
      <c r="U9" s="28" t="s">
        <v>1</v>
      </c>
      <c r="V9" s="28" t="s">
        <v>2</v>
      </c>
      <c r="W9" s="28" t="s">
        <v>3</v>
      </c>
    </row>
    <row r="10" spans="1:23" ht="15" thickBot="1" x14ac:dyDescent="0.35">
      <c r="A10" s="23"/>
      <c r="B10" s="23"/>
      <c r="C10" s="23" t="s">
        <v>12</v>
      </c>
      <c r="D10" s="23"/>
      <c r="E10" s="23"/>
      <c r="F10" s="23">
        <v>525.99</v>
      </c>
      <c r="I10" s="23"/>
      <c r="J10" s="23"/>
      <c r="K10" s="23" t="s">
        <v>12</v>
      </c>
      <c r="L10" s="23"/>
      <c r="M10" s="23"/>
      <c r="N10" s="23">
        <v>0</v>
      </c>
      <c r="Q10" s="23">
        <v>5817</v>
      </c>
      <c r="R10" s="23" t="s">
        <v>70</v>
      </c>
      <c r="S10" s="23">
        <v>0</v>
      </c>
      <c r="T10" s="23">
        <v>50</v>
      </c>
      <c r="U10" s="23">
        <v>50</v>
      </c>
      <c r="V10" s="23">
        <v>100</v>
      </c>
      <c r="W10" s="23">
        <v>-50</v>
      </c>
    </row>
    <row r="11" spans="1:23" ht="15" thickBot="1" x14ac:dyDescent="0.35">
      <c r="A11" s="23">
        <v>1363463</v>
      </c>
      <c r="B11" s="24">
        <v>45748</v>
      </c>
      <c r="C11" s="23" t="s">
        <v>59</v>
      </c>
      <c r="D11" s="23">
        <v>543</v>
      </c>
      <c r="E11" s="23"/>
      <c r="F11" s="23">
        <v>-17.010000000000002</v>
      </c>
      <c r="I11" s="23"/>
      <c r="J11" s="23"/>
      <c r="K11" s="23"/>
      <c r="L11" s="27">
        <v>0</v>
      </c>
      <c r="M11" s="27">
        <v>0</v>
      </c>
      <c r="N11" s="27">
        <v>0</v>
      </c>
      <c r="Q11" s="23">
        <v>5819</v>
      </c>
      <c r="R11" s="23" t="s">
        <v>71</v>
      </c>
      <c r="S11" s="23">
        <v>0</v>
      </c>
      <c r="T11" s="23">
        <v>50</v>
      </c>
      <c r="U11" s="23">
        <v>50</v>
      </c>
      <c r="V11" s="23">
        <v>50</v>
      </c>
      <c r="W11" s="23">
        <v>0</v>
      </c>
    </row>
    <row r="12" spans="1:23" ht="15" thickBot="1" x14ac:dyDescent="0.35">
      <c r="A12" s="23">
        <v>1361544</v>
      </c>
      <c r="B12" s="24">
        <v>45749</v>
      </c>
      <c r="C12" s="23" t="s">
        <v>53</v>
      </c>
      <c r="D12" s="23"/>
      <c r="E12" s="23">
        <v>50</v>
      </c>
      <c r="F12" s="23">
        <v>-17.010000000000002</v>
      </c>
      <c r="Q12" s="23">
        <v>5820</v>
      </c>
      <c r="R12" s="23" t="s">
        <v>72</v>
      </c>
      <c r="S12" s="23">
        <v>0</v>
      </c>
      <c r="T12" s="23">
        <v>50</v>
      </c>
      <c r="U12" s="23">
        <v>50</v>
      </c>
      <c r="V12" s="23">
        <v>50</v>
      </c>
      <c r="W12" s="23">
        <v>0</v>
      </c>
    </row>
    <row r="13" spans="1:23" ht="15" thickBot="1" x14ac:dyDescent="0.35">
      <c r="A13" s="23">
        <v>1361547</v>
      </c>
      <c r="B13" s="24">
        <v>45749</v>
      </c>
      <c r="C13" s="23" t="s">
        <v>54</v>
      </c>
      <c r="D13" s="23">
        <v>7.51</v>
      </c>
      <c r="E13" s="23"/>
      <c r="F13" s="23">
        <v>-24.52</v>
      </c>
      <c r="Q13" s="23">
        <v>5821</v>
      </c>
      <c r="R13" s="23" t="s">
        <v>73</v>
      </c>
      <c r="S13" s="23">
        <v>10</v>
      </c>
      <c r="T13" s="23">
        <v>50</v>
      </c>
      <c r="U13" s="23">
        <v>60</v>
      </c>
      <c r="V13" s="23">
        <v>0</v>
      </c>
      <c r="W13" s="23">
        <v>60</v>
      </c>
    </row>
    <row r="14" spans="1:23" ht="15" thickBot="1" x14ac:dyDescent="0.35">
      <c r="A14" s="23">
        <v>1361551</v>
      </c>
      <c r="B14" s="24">
        <v>45749</v>
      </c>
      <c r="C14" s="23" t="s">
        <v>47</v>
      </c>
      <c r="D14" s="23"/>
      <c r="E14" s="23">
        <v>50</v>
      </c>
      <c r="F14" s="23">
        <v>25.48</v>
      </c>
      <c r="Q14" s="23">
        <v>5822</v>
      </c>
      <c r="R14" s="23" t="s">
        <v>74</v>
      </c>
      <c r="S14" s="23">
        <v>0</v>
      </c>
      <c r="T14" s="23">
        <v>50</v>
      </c>
      <c r="U14" s="23">
        <v>50</v>
      </c>
      <c r="V14" s="23">
        <v>0</v>
      </c>
      <c r="W14" s="23">
        <v>50</v>
      </c>
    </row>
    <row r="15" spans="1:23" ht="15" thickBot="1" x14ac:dyDescent="0.35">
      <c r="A15" s="23">
        <v>1361554</v>
      </c>
      <c r="B15" s="24">
        <v>45749</v>
      </c>
      <c r="C15" s="23" t="s">
        <v>48</v>
      </c>
      <c r="D15" s="23">
        <v>7.51</v>
      </c>
      <c r="E15" s="23"/>
      <c r="F15" s="23">
        <v>17.97</v>
      </c>
      <c r="Q15" s="23">
        <v>5823</v>
      </c>
      <c r="R15" s="23" t="s">
        <v>75</v>
      </c>
      <c r="S15" s="23">
        <v>55</v>
      </c>
      <c r="T15" s="23">
        <v>50</v>
      </c>
      <c r="U15" s="23">
        <v>105</v>
      </c>
      <c r="V15" s="23">
        <v>0</v>
      </c>
      <c r="W15" s="23">
        <v>105</v>
      </c>
    </row>
    <row r="16" spans="1:23" ht="15" thickBot="1" x14ac:dyDescent="0.35">
      <c r="A16" s="23">
        <v>1361558</v>
      </c>
      <c r="B16" s="24">
        <v>45749</v>
      </c>
      <c r="C16" s="23" t="s">
        <v>49</v>
      </c>
      <c r="D16" s="23"/>
      <c r="E16" s="23">
        <v>50</v>
      </c>
      <c r="F16" s="23">
        <v>67.97</v>
      </c>
      <c r="Q16" s="23">
        <v>5824</v>
      </c>
      <c r="R16" s="23" t="s">
        <v>76</v>
      </c>
      <c r="S16" s="23">
        <v>0</v>
      </c>
      <c r="T16" s="23">
        <v>50</v>
      </c>
      <c r="U16" s="23">
        <v>50</v>
      </c>
      <c r="V16" s="23">
        <v>50</v>
      </c>
      <c r="W16" s="23">
        <v>0</v>
      </c>
    </row>
    <row r="17" spans="1:23" ht="15" thickBot="1" x14ac:dyDescent="0.35">
      <c r="A17" s="23">
        <v>1361561</v>
      </c>
      <c r="B17" s="24">
        <v>45749</v>
      </c>
      <c r="C17" s="23" t="s">
        <v>50</v>
      </c>
      <c r="D17" s="23">
        <v>7.51</v>
      </c>
      <c r="E17" s="23"/>
      <c r="F17" s="23">
        <v>60.46</v>
      </c>
      <c r="Q17" s="23">
        <v>5825</v>
      </c>
      <c r="R17" s="23" t="s">
        <v>77</v>
      </c>
      <c r="S17" s="23">
        <v>50</v>
      </c>
      <c r="T17" s="23">
        <v>50</v>
      </c>
      <c r="U17" s="23">
        <v>100</v>
      </c>
      <c r="V17" s="23">
        <v>0</v>
      </c>
      <c r="W17" s="23">
        <v>100</v>
      </c>
    </row>
    <row r="18" spans="1:23" ht="15" thickBot="1" x14ac:dyDescent="0.35">
      <c r="A18" s="23">
        <v>1361565</v>
      </c>
      <c r="B18" s="24">
        <v>45749</v>
      </c>
      <c r="C18" s="23" t="s">
        <v>35</v>
      </c>
      <c r="D18" s="23"/>
      <c r="E18" s="23">
        <v>50</v>
      </c>
      <c r="F18" s="23">
        <v>110.46</v>
      </c>
      <c r="Q18" s="23">
        <v>5826</v>
      </c>
      <c r="R18" s="23" t="s">
        <v>78</v>
      </c>
      <c r="S18" s="23">
        <v>105</v>
      </c>
      <c r="T18" s="23">
        <v>50</v>
      </c>
      <c r="U18" s="23">
        <v>155</v>
      </c>
      <c r="V18" s="23">
        <v>0</v>
      </c>
      <c r="W18" s="23">
        <v>155</v>
      </c>
    </row>
    <row r="19" spans="1:23" ht="15" thickBot="1" x14ac:dyDescent="0.35">
      <c r="A19" s="23">
        <v>1361568</v>
      </c>
      <c r="B19" s="24">
        <v>45749</v>
      </c>
      <c r="C19" s="23" t="s">
        <v>36</v>
      </c>
      <c r="D19" s="23">
        <v>7.51</v>
      </c>
      <c r="E19" s="23"/>
      <c r="F19" s="23">
        <v>102.95</v>
      </c>
      <c r="Q19" s="23">
        <v>5827</v>
      </c>
      <c r="R19" s="23" t="s">
        <v>79</v>
      </c>
      <c r="S19" s="23">
        <v>0</v>
      </c>
      <c r="T19" s="23">
        <v>50</v>
      </c>
      <c r="U19" s="23">
        <v>50</v>
      </c>
      <c r="V19" s="23">
        <v>50</v>
      </c>
      <c r="W19" s="23">
        <v>0</v>
      </c>
    </row>
    <row r="20" spans="1:23" ht="15" thickBot="1" x14ac:dyDescent="0.35">
      <c r="A20" s="23">
        <v>1361572</v>
      </c>
      <c r="B20" s="24">
        <v>45749</v>
      </c>
      <c r="C20" s="23" t="s">
        <v>25</v>
      </c>
      <c r="D20" s="23"/>
      <c r="E20" s="23">
        <v>50</v>
      </c>
      <c r="F20" s="23">
        <v>152.94999999999999</v>
      </c>
      <c r="Q20" s="25">
        <v>5828</v>
      </c>
      <c r="R20" s="25" t="s">
        <v>80</v>
      </c>
      <c r="S20" s="25">
        <v>20</v>
      </c>
      <c r="T20" s="25">
        <v>50</v>
      </c>
      <c r="U20" s="25">
        <v>70</v>
      </c>
      <c r="V20" s="25">
        <v>50</v>
      </c>
      <c r="W20" s="25">
        <v>20</v>
      </c>
    </row>
    <row r="21" spans="1:23" ht="15" thickBot="1" x14ac:dyDescent="0.35">
      <c r="A21" s="23">
        <v>1361575</v>
      </c>
      <c r="B21" s="24">
        <v>45749</v>
      </c>
      <c r="C21" s="23" t="s">
        <v>26</v>
      </c>
      <c r="D21" s="23">
        <v>7.51</v>
      </c>
      <c r="E21" s="23"/>
      <c r="F21" s="23">
        <v>145.44</v>
      </c>
      <c r="Q21" s="23">
        <v>5829</v>
      </c>
      <c r="R21" s="23" t="s">
        <v>81</v>
      </c>
      <c r="S21" s="23">
        <v>0</v>
      </c>
      <c r="T21" s="23">
        <v>50</v>
      </c>
      <c r="U21" s="23">
        <v>50</v>
      </c>
      <c r="V21" s="23">
        <v>0</v>
      </c>
      <c r="W21" s="23">
        <v>50</v>
      </c>
    </row>
    <row r="22" spans="1:23" ht="15" thickBot="1" x14ac:dyDescent="0.35">
      <c r="A22" s="23">
        <v>1361579</v>
      </c>
      <c r="B22" s="24">
        <v>45749</v>
      </c>
      <c r="C22" s="23" t="s">
        <v>41</v>
      </c>
      <c r="D22" s="23"/>
      <c r="E22" s="23">
        <v>50</v>
      </c>
      <c r="F22" s="23">
        <v>195.44</v>
      </c>
      <c r="Q22" s="23">
        <v>5830</v>
      </c>
      <c r="R22" s="23" t="s">
        <v>82</v>
      </c>
      <c r="S22" s="23">
        <v>-100</v>
      </c>
      <c r="T22" s="23">
        <v>50</v>
      </c>
      <c r="U22" s="23">
        <v>-50</v>
      </c>
      <c r="V22" s="23">
        <v>0</v>
      </c>
      <c r="W22" s="23">
        <v>-50</v>
      </c>
    </row>
    <row r="23" spans="1:23" ht="15" thickBot="1" x14ac:dyDescent="0.35">
      <c r="A23" s="23">
        <v>1361582</v>
      </c>
      <c r="B23" s="24">
        <v>45749</v>
      </c>
      <c r="C23" s="23" t="s">
        <v>42</v>
      </c>
      <c r="D23" s="23">
        <v>7.51</v>
      </c>
      <c r="E23" s="23"/>
      <c r="F23" s="23">
        <v>187.93</v>
      </c>
      <c r="Q23" s="23">
        <v>5831</v>
      </c>
      <c r="R23" s="23" t="s">
        <v>83</v>
      </c>
      <c r="S23" s="23">
        <v>0</v>
      </c>
      <c r="T23" s="23">
        <v>50</v>
      </c>
      <c r="U23" s="23">
        <v>50</v>
      </c>
      <c r="V23" s="23">
        <v>50</v>
      </c>
      <c r="W23" s="23">
        <v>0</v>
      </c>
    </row>
    <row r="24" spans="1:23" ht="15" thickBot="1" x14ac:dyDescent="0.35">
      <c r="A24" s="23">
        <v>1362876</v>
      </c>
      <c r="B24" s="24">
        <v>45750</v>
      </c>
      <c r="C24" s="23" t="s">
        <v>166</v>
      </c>
      <c r="D24" s="23"/>
      <c r="E24" s="23">
        <v>50</v>
      </c>
      <c r="F24" s="23">
        <v>237.93</v>
      </c>
      <c r="Q24" s="23">
        <v>5832</v>
      </c>
      <c r="R24" s="23" t="s">
        <v>84</v>
      </c>
      <c r="S24" s="23">
        <v>0</v>
      </c>
      <c r="T24" s="23">
        <v>50</v>
      </c>
      <c r="U24" s="23">
        <v>50</v>
      </c>
      <c r="V24" s="23">
        <v>50</v>
      </c>
      <c r="W24" s="23">
        <v>0</v>
      </c>
    </row>
    <row r="25" spans="1:23" ht="15" thickBot="1" x14ac:dyDescent="0.35">
      <c r="A25" s="23">
        <v>1362879</v>
      </c>
      <c r="B25" s="24">
        <v>45750</v>
      </c>
      <c r="C25" s="23" t="s">
        <v>167</v>
      </c>
      <c r="D25" s="23">
        <v>7.51</v>
      </c>
      <c r="E25" s="23"/>
      <c r="F25" s="23">
        <v>230.42</v>
      </c>
      <c r="Q25" s="23">
        <v>5833</v>
      </c>
      <c r="R25" s="23" t="s">
        <v>85</v>
      </c>
      <c r="S25" s="23">
        <v>0</v>
      </c>
      <c r="T25" s="23">
        <v>50</v>
      </c>
      <c r="U25" s="23">
        <v>50</v>
      </c>
      <c r="V25" s="23">
        <v>50</v>
      </c>
      <c r="W25" s="23">
        <v>0</v>
      </c>
    </row>
    <row r="26" spans="1:23" ht="15" thickBot="1" x14ac:dyDescent="0.35">
      <c r="A26" s="23">
        <v>1363724</v>
      </c>
      <c r="B26" s="24">
        <v>45751</v>
      </c>
      <c r="C26" s="23" t="s">
        <v>168</v>
      </c>
      <c r="D26" s="23"/>
      <c r="E26" s="23">
        <v>50</v>
      </c>
      <c r="F26" s="23">
        <v>280.42</v>
      </c>
      <c r="Q26" s="23">
        <v>5834</v>
      </c>
      <c r="R26" s="23" t="s">
        <v>86</v>
      </c>
      <c r="S26" s="23">
        <v>0</v>
      </c>
      <c r="T26" s="23">
        <v>50</v>
      </c>
      <c r="U26" s="23">
        <v>50</v>
      </c>
      <c r="V26" s="23">
        <v>50</v>
      </c>
      <c r="W26" s="23">
        <v>0</v>
      </c>
    </row>
    <row r="27" spans="1:23" ht="15" thickBot="1" x14ac:dyDescent="0.35">
      <c r="A27" s="23">
        <v>1363727</v>
      </c>
      <c r="B27" s="24">
        <v>45751</v>
      </c>
      <c r="C27" s="23" t="s">
        <v>169</v>
      </c>
      <c r="D27" s="23">
        <v>7.51</v>
      </c>
      <c r="E27" s="23"/>
      <c r="F27" s="23">
        <v>272.91000000000003</v>
      </c>
      <c r="Q27" s="23"/>
      <c r="R27" s="23"/>
      <c r="S27" s="29">
        <v>140</v>
      </c>
      <c r="T27" s="29">
        <v>850</v>
      </c>
      <c r="U27" s="29">
        <v>990</v>
      </c>
      <c r="V27" s="29">
        <v>550</v>
      </c>
      <c r="W27" s="29">
        <v>440</v>
      </c>
    </row>
    <row r="28" spans="1:23" ht="15" thickBot="1" x14ac:dyDescent="0.35">
      <c r="A28" s="23">
        <v>1365440</v>
      </c>
      <c r="B28" s="24">
        <v>45755</v>
      </c>
      <c r="C28" s="23" t="s">
        <v>170</v>
      </c>
      <c r="D28" s="23"/>
      <c r="E28" s="23">
        <v>50</v>
      </c>
      <c r="F28" s="23">
        <v>322.91000000000003</v>
      </c>
      <c r="W28">
        <f>W10+W22</f>
        <v>-100</v>
      </c>
    </row>
    <row r="29" spans="1:23" ht="15" thickBot="1" x14ac:dyDescent="0.35">
      <c r="A29" s="23">
        <v>1365443</v>
      </c>
      <c r="B29" s="24">
        <v>45755</v>
      </c>
      <c r="C29" s="23" t="s">
        <v>171</v>
      </c>
      <c r="D29" s="23">
        <v>7.51</v>
      </c>
      <c r="E29" s="23"/>
      <c r="F29" s="23">
        <v>315.39999999999998</v>
      </c>
      <c r="W29">
        <f>W28*-1</f>
        <v>100</v>
      </c>
    </row>
    <row r="30" spans="1:23" ht="15" thickBot="1" x14ac:dyDescent="0.35">
      <c r="A30" s="23">
        <v>1366918</v>
      </c>
      <c r="B30" s="24">
        <v>45756</v>
      </c>
      <c r="C30" s="23" t="s">
        <v>172</v>
      </c>
      <c r="D30" s="23">
        <v>275</v>
      </c>
      <c r="E30" s="23"/>
      <c r="F30" s="23">
        <v>40.4</v>
      </c>
      <c r="W30">
        <f>W29+W27</f>
        <v>540</v>
      </c>
    </row>
    <row r="31" spans="1:23" ht="15" thickBot="1" x14ac:dyDescent="0.35">
      <c r="A31" s="23">
        <v>1367023</v>
      </c>
      <c r="B31" s="24">
        <v>45757</v>
      </c>
      <c r="C31" s="23" t="s">
        <v>173</v>
      </c>
      <c r="D31" s="23"/>
      <c r="E31" s="23">
        <v>50</v>
      </c>
      <c r="F31" s="23">
        <v>90.4</v>
      </c>
    </row>
    <row r="32" spans="1:23" ht="15" thickBot="1" x14ac:dyDescent="0.35">
      <c r="A32" s="25">
        <v>1367026</v>
      </c>
      <c r="B32" s="26">
        <v>45757</v>
      </c>
      <c r="C32" s="25" t="s">
        <v>174</v>
      </c>
      <c r="D32" s="25">
        <v>7.51</v>
      </c>
      <c r="E32" s="25"/>
      <c r="F32" s="25">
        <v>82.89</v>
      </c>
    </row>
    <row r="33" spans="1:6" ht="15" thickBot="1" x14ac:dyDescent="0.35">
      <c r="A33" s="23">
        <v>1369500</v>
      </c>
      <c r="B33" s="24">
        <v>45772</v>
      </c>
      <c r="C33" s="23" t="s">
        <v>175</v>
      </c>
      <c r="D33" s="23"/>
      <c r="E33" s="23">
        <v>50</v>
      </c>
      <c r="F33" s="23">
        <v>132.88999999999999</v>
      </c>
    </row>
    <row r="34" spans="1:6" ht="15" thickBot="1" x14ac:dyDescent="0.35">
      <c r="A34" s="23">
        <v>1369503</v>
      </c>
      <c r="B34" s="24">
        <v>45772</v>
      </c>
      <c r="C34" s="23" t="s">
        <v>176</v>
      </c>
      <c r="D34" s="23">
        <v>7.51</v>
      </c>
      <c r="E34" s="23"/>
      <c r="F34" s="23">
        <v>125.38</v>
      </c>
    </row>
    <row r="35" spans="1:6" ht="15" thickBot="1" x14ac:dyDescent="0.35">
      <c r="A35" s="23">
        <v>1369876</v>
      </c>
      <c r="B35" s="24">
        <v>45772</v>
      </c>
      <c r="C35" s="23" t="s">
        <v>177</v>
      </c>
      <c r="D35" s="23">
        <v>80</v>
      </c>
      <c r="E35" s="23"/>
      <c r="F35" s="23">
        <v>45.38</v>
      </c>
    </row>
    <row r="36" spans="1:6" ht="15" thickBot="1" x14ac:dyDescent="0.35">
      <c r="A36" s="23">
        <v>1370678</v>
      </c>
      <c r="B36" s="24">
        <v>45777</v>
      </c>
      <c r="C36" s="23" t="s">
        <v>87</v>
      </c>
      <c r="D36" s="23">
        <v>543</v>
      </c>
      <c r="E36" s="23"/>
      <c r="F36" s="23">
        <v>-497.62</v>
      </c>
    </row>
    <row r="37" spans="1:6" ht="15" thickBot="1" x14ac:dyDescent="0.35">
      <c r="A37" s="23">
        <v>1371978</v>
      </c>
      <c r="B37" s="24">
        <v>45777</v>
      </c>
      <c r="C37" s="23" t="s">
        <v>178</v>
      </c>
      <c r="D37" s="23">
        <v>5</v>
      </c>
      <c r="E37" s="23"/>
      <c r="F37" s="23">
        <v>-502.62</v>
      </c>
    </row>
    <row r="38" spans="1:6" x14ac:dyDescent="0.3">
      <c r="A38" s="23"/>
      <c r="B38" s="23"/>
      <c r="C38" s="23"/>
      <c r="D38" s="27">
        <v>1528.61</v>
      </c>
      <c r="E38" s="27">
        <v>550</v>
      </c>
      <c r="F38" s="27">
        <v>-502.62</v>
      </c>
    </row>
  </sheetData>
  <pageMargins left="0.7" right="0.7" top="0.75" bottom="0.75" header="0.3" footer="0.3"/>
  <drawing r:id="rId1"/>
  <legacyDrawing r:id="rId2"/>
  <controls>
    <mc:AlternateContent xmlns:mc="http://schemas.openxmlformats.org/markup-compatibility/2006">
      <mc:Choice Requires="x14">
        <control shapeId="6145" r:id="rId3" name="Control 1">
          <controlPr defaultSize="0" r:id="rId4">
            <anchor moveWithCells="1">
              <from>
                <xdr:col>16</xdr:col>
                <xdr:colOff>0</xdr:colOff>
                <xdr:row>27</xdr:row>
                <xdr:rowOff>0</xdr:rowOff>
              </from>
              <to>
                <xdr:col>16</xdr:col>
                <xdr:colOff>358140</xdr:colOff>
                <xdr:row>28</xdr:row>
                <xdr:rowOff>114300</xdr:rowOff>
              </to>
            </anchor>
          </controlPr>
        </control>
      </mc:Choice>
      <mc:Fallback>
        <control shapeId="6145" r:id="rId3" name="Control 1"/>
      </mc:Fallback>
    </mc:AlternateContent>
  </control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9B1C1-4554-46B3-9921-BC2D0FD5F656}">
  <dimension ref="A1:W47"/>
  <sheetViews>
    <sheetView topLeftCell="I12" workbookViewId="0">
      <selection activeCell="AE45" sqref="AE45"/>
    </sheetView>
  </sheetViews>
  <sheetFormatPr defaultRowHeight="14.4" x14ac:dyDescent="0.3"/>
  <cols>
    <col min="1" max="1" width="11.77734375" customWidth="1"/>
    <col min="2" max="2" width="12.5546875" customWidth="1"/>
    <col min="4" max="4" width="12" bestFit="1" customWidth="1"/>
    <col min="5" max="6" width="9.33203125" bestFit="1" customWidth="1"/>
  </cols>
  <sheetData>
    <row r="1" spans="1:23" x14ac:dyDescent="0.3">
      <c r="A1" s="17" t="s">
        <v>4</v>
      </c>
      <c r="B1" s="18"/>
      <c r="C1" s="18"/>
      <c r="D1" s="18"/>
      <c r="E1" s="18"/>
      <c r="F1" s="18"/>
      <c r="I1" s="17" t="s">
        <v>4</v>
      </c>
      <c r="J1" s="18"/>
      <c r="K1" s="18"/>
      <c r="L1" s="18"/>
      <c r="M1" s="18"/>
      <c r="N1" s="18"/>
      <c r="Q1" s="17" t="s">
        <v>13</v>
      </c>
      <c r="R1" s="18"/>
      <c r="S1" s="18"/>
      <c r="T1" s="18"/>
      <c r="U1" s="18"/>
      <c r="V1" s="18"/>
      <c r="W1" s="18"/>
    </row>
    <row r="2" spans="1:23" x14ac:dyDescent="0.3">
      <c r="A2" s="18"/>
      <c r="B2" s="18"/>
      <c r="C2" s="18"/>
      <c r="D2" s="18"/>
      <c r="E2" s="18"/>
      <c r="F2" s="18"/>
      <c r="I2" s="18"/>
      <c r="J2" s="18"/>
      <c r="K2" s="18"/>
      <c r="L2" s="18"/>
      <c r="M2" s="18"/>
      <c r="N2" s="18"/>
      <c r="Q2" s="11" t="s">
        <v>67</v>
      </c>
      <c r="R2" s="18"/>
      <c r="S2" s="18"/>
      <c r="T2" s="18"/>
      <c r="U2" s="18"/>
      <c r="V2" s="18"/>
      <c r="W2" s="18"/>
    </row>
    <row r="3" spans="1:23" x14ac:dyDescent="0.3">
      <c r="A3" s="19" t="s">
        <v>94</v>
      </c>
      <c r="B3" s="18"/>
      <c r="C3" s="18"/>
      <c r="D3" s="18"/>
      <c r="E3" s="18"/>
      <c r="F3" s="18"/>
      <c r="I3" s="19" t="s">
        <v>94</v>
      </c>
      <c r="J3" s="18"/>
      <c r="K3" s="18"/>
      <c r="L3" s="18"/>
      <c r="M3" s="18"/>
      <c r="N3" s="18"/>
      <c r="Q3" s="11" t="s">
        <v>165</v>
      </c>
      <c r="R3" s="18"/>
      <c r="S3" s="18"/>
      <c r="T3" s="18"/>
      <c r="U3" s="18"/>
      <c r="V3" s="18"/>
      <c r="W3" s="18"/>
    </row>
    <row r="4" spans="1:23" x14ac:dyDescent="0.3">
      <c r="A4" s="18"/>
      <c r="B4" s="18"/>
      <c r="C4" s="18"/>
      <c r="D4" s="18"/>
      <c r="E4" s="18"/>
      <c r="F4" s="18"/>
      <c r="I4" s="18"/>
      <c r="J4" s="18"/>
      <c r="K4" s="18"/>
      <c r="L4" s="18"/>
      <c r="M4" s="18"/>
      <c r="N4" s="18"/>
      <c r="Q4" s="11" t="s">
        <v>14</v>
      </c>
      <c r="R4" s="18"/>
      <c r="S4" s="18"/>
      <c r="T4" s="18"/>
      <c r="U4" s="18"/>
      <c r="V4" s="18"/>
      <c r="W4" s="18"/>
    </row>
    <row r="5" spans="1:23" x14ac:dyDescent="0.3">
      <c r="A5" s="20" t="s">
        <v>95</v>
      </c>
      <c r="B5" s="18"/>
      <c r="C5" s="18"/>
      <c r="D5" s="18"/>
      <c r="E5" s="18"/>
      <c r="F5" s="18"/>
      <c r="I5" s="20" t="s">
        <v>98</v>
      </c>
      <c r="J5" s="18"/>
      <c r="K5" s="18"/>
      <c r="L5" s="18"/>
      <c r="M5" s="18"/>
      <c r="N5" s="18"/>
      <c r="Q5" s="18"/>
      <c r="R5" s="18"/>
      <c r="S5" s="18"/>
      <c r="T5" s="18"/>
      <c r="U5" s="18"/>
      <c r="V5" s="18"/>
      <c r="W5" s="18"/>
    </row>
    <row r="6" spans="1:23" x14ac:dyDescent="0.3">
      <c r="A6" s="20" t="s">
        <v>96</v>
      </c>
      <c r="B6" s="18"/>
      <c r="C6" s="18"/>
      <c r="D6" s="18"/>
      <c r="E6" s="18"/>
      <c r="F6" s="18"/>
      <c r="I6" s="20" t="s">
        <v>99</v>
      </c>
      <c r="J6" s="18"/>
      <c r="K6" s="18"/>
      <c r="L6" s="18"/>
      <c r="M6" s="18"/>
      <c r="N6" s="18"/>
      <c r="Q6" s="18"/>
      <c r="R6" s="18"/>
      <c r="S6" s="18"/>
      <c r="T6" s="18"/>
      <c r="U6" s="18"/>
      <c r="V6" s="18"/>
      <c r="W6" s="18"/>
    </row>
    <row r="7" spans="1:23" x14ac:dyDescent="0.3">
      <c r="A7" s="20" t="s">
        <v>164</v>
      </c>
      <c r="B7" s="18"/>
      <c r="C7" s="18"/>
      <c r="D7" s="18"/>
      <c r="E7" s="18"/>
      <c r="F7" s="18"/>
      <c r="I7" s="20" t="s">
        <v>164</v>
      </c>
      <c r="J7" s="18"/>
      <c r="K7" s="18"/>
      <c r="L7" s="18"/>
      <c r="M7" s="18"/>
      <c r="N7" s="18"/>
      <c r="Q7" s="18"/>
      <c r="R7" s="18"/>
      <c r="S7" s="18"/>
      <c r="T7" s="18"/>
      <c r="U7" s="18"/>
      <c r="V7" s="18"/>
      <c r="W7" s="18"/>
    </row>
    <row r="8" spans="1:23" x14ac:dyDescent="0.3">
      <c r="A8" s="21"/>
      <c r="B8" s="18"/>
      <c r="C8" s="18"/>
      <c r="D8" s="18"/>
      <c r="E8" s="18"/>
      <c r="F8" s="18"/>
      <c r="I8" s="21"/>
      <c r="J8" s="18"/>
      <c r="K8" s="18"/>
      <c r="L8" s="18"/>
      <c r="M8" s="18"/>
      <c r="N8" s="18"/>
      <c r="Q8" s="11" t="s">
        <v>69</v>
      </c>
      <c r="R8" s="18"/>
      <c r="S8" s="18"/>
      <c r="T8" s="18"/>
      <c r="U8" s="18"/>
      <c r="V8" s="18"/>
      <c r="W8" s="18"/>
    </row>
    <row r="9" spans="1:23" ht="15" thickBot="1" x14ac:dyDescent="0.35">
      <c r="A9" s="22" t="s">
        <v>6</v>
      </c>
      <c r="B9" s="22" t="s">
        <v>7</v>
      </c>
      <c r="C9" s="22" t="s">
        <v>8</v>
      </c>
      <c r="D9" s="22" t="s">
        <v>9</v>
      </c>
      <c r="E9" s="22" t="s">
        <v>10</v>
      </c>
      <c r="F9" s="22" t="s">
        <v>11</v>
      </c>
      <c r="I9" s="22" t="s">
        <v>6</v>
      </c>
      <c r="J9" s="22" t="s">
        <v>7</v>
      </c>
      <c r="K9" s="22" t="s">
        <v>8</v>
      </c>
      <c r="L9" s="22" t="s">
        <v>9</v>
      </c>
      <c r="M9" s="22" t="s">
        <v>10</v>
      </c>
      <c r="N9" s="22" t="s">
        <v>11</v>
      </c>
      <c r="Q9" s="28" t="s">
        <v>15</v>
      </c>
      <c r="R9" s="28" t="s">
        <v>16</v>
      </c>
      <c r="S9" s="28" t="s">
        <v>0</v>
      </c>
      <c r="T9" s="28" t="s">
        <v>17</v>
      </c>
      <c r="U9" s="28" t="s">
        <v>1</v>
      </c>
      <c r="V9" s="28" t="s">
        <v>2</v>
      </c>
      <c r="W9" s="28" t="s">
        <v>3</v>
      </c>
    </row>
    <row r="10" spans="1:23" ht="15" thickBot="1" x14ac:dyDescent="0.35">
      <c r="A10" s="23"/>
      <c r="B10" s="23"/>
      <c r="C10" s="23" t="s">
        <v>12</v>
      </c>
      <c r="D10" s="23"/>
      <c r="E10" s="23"/>
      <c r="F10" s="23">
        <v>204.15</v>
      </c>
      <c r="I10" s="23"/>
      <c r="J10" s="23"/>
      <c r="K10" s="23" t="s">
        <v>12</v>
      </c>
      <c r="L10" s="23"/>
      <c r="M10" s="23"/>
      <c r="N10" s="23">
        <v>0</v>
      </c>
      <c r="Q10" s="23">
        <v>5817</v>
      </c>
      <c r="R10" s="23" t="s">
        <v>70</v>
      </c>
      <c r="S10" s="23">
        <v>0</v>
      </c>
      <c r="T10" s="23">
        <v>50</v>
      </c>
      <c r="U10" s="23">
        <v>50</v>
      </c>
      <c r="V10" s="23">
        <v>50</v>
      </c>
      <c r="W10" s="23">
        <v>0</v>
      </c>
    </row>
    <row r="11" spans="1:23" ht="15" thickBot="1" x14ac:dyDescent="0.35">
      <c r="A11" s="23">
        <v>1354045</v>
      </c>
      <c r="B11" s="24">
        <v>45720</v>
      </c>
      <c r="C11" s="23" t="s">
        <v>29</v>
      </c>
      <c r="D11" s="23"/>
      <c r="E11" s="23">
        <v>150</v>
      </c>
      <c r="F11" s="23">
        <v>354.15</v>
      </c>
      <c r="I11" s="23"/>
      <c r="J11" s="23"/>
      <c r="K11" s="23"/>
      <c r="L11" s="27">
        <v>0</v>
      </c>
      <c r="M11" s="27">
        <v>0</v>
      </c>
      <c r="N11" s="27">
        <v>0</v>
      </c>
      <c r="Q11" s="23">
        <v>5819</v>
      </c>
      <c r="R11" s="23" t="s">
        <v>71</v>
      </c>
      <c r="S11" s="23">
        <v>0</v>
      </c>
      <c r="T11" s="23">
        <v>50</v>
      </c>
      <c r="U11" s="23">
        <v>50</v>
      </c>
      <c r="V11" s="23">
        <v>50</v>
      </c>
      <c r="W11" s="23">
        <v>0</v>
      </c>
    </row>
    <row r="12" spans="1:23" ht="15" thickBot="1" x14ac:dyDescent="0.35">
      <c r="A12" s="23">
        <v>1354048</v>
      </c>
      <c r="B12" s="24">
        <v>45720</v>
      </c>
      <c r="C12" s="23" t="s">
        <v>30</v>
      </c>
      <c r="D12" s="23">
        <v>22.52</v>
      </c>
      <c r="E12" s="23"/>
      <c r="F12" s="23">
        <v>331.63</v>
      </c>
      <c r="Q12" s="23">
        <v>5820</v>
      </c>
      <c r="R12" s="23" t="s">
        <v>72</v>
      </c>
      <c r="S12" s="23">
        <v>-50</v>
      </c>
      <c r="T12" s="23">
        <v>50</v>
      </c>
      <c r="U12" s="23">
        <v>0</v>
      </c>
      <c r="V12" s="23">
        <v>0</v>
      </c>
      <c r="W12" s="23">
        <v>0</v>
      </c>
    </row>
    <row r="13" spans="1:23" ht="15" thickBot="1" x14ac:dyDescent="0.35">
      <c r="A13" s="23">
        <v>1354094</v>
      </c>
      <c r="B13" s="24">
        <v>45720</v>
      </c>
      <c r="C13" s="23" t="s">
        <v>53</v>
      </c>
      <c r="D13" s="23"/>
      <c r="E13" s="23">
        <v>50</v>
      </c>
      <c r="F13" s="23">
        <v>381.63</v>
      </c>
      <c r="Q13" s="23">
        <v>5821</v>
      </c>
      <c r="R13" s="23" t="s">
        <v>73</v>
      </c>
      <c r="S13" s="23">
        <v>110</v>
      </c>
      <c r="T13" s="23">
        <v>50</v>
      </c>
      <c r="U13" s="23">
        <v>160</v>
      </c>
      <c r="V13" s="23">
        <v>150</v>
      </c>
      <c r="W13" s="23">
        <v>10</v>
      </c>
    </row>
    <row r="14" spans="1:23" ht="15" thickBot="1" x14ac:dyDescent="0.35">
      <c r="A14" s="23">
        <v>1354097</v>
      </c>
      <c r="B14" s="24">
        <v>45720</v>
      </c>
      <c r="C14" s="23" t="s">
        <v>54</v>
      </c>
      <c r="D14" s="23">
        <v>7.51</v>
      </c>
      <c r="E14" s="23"/>
      <c r="F14" s="23">
        <v>374.12</v>
      </c>
      <c r="Q14" s="23">
        <v>5822</v>
      </c>
      <c r="R14" s="23" t="s">
        <v>74</v>
      </c>
      <c r="S14" s="23">
        <v>55</v>
      </c>
      <c r="T14" s="23">
        <v>50</v>
      </c>
      <c r="U14" s="23">
        <v>105</v>
      </c>
      <c r="V14" s="23">
        <v>105</v>
      </c>
      <c r="W14" s="23">
        <v>0</v>
      </c>
    </row>
    <row r="15" spans="1:23" ht="15" thickBot="1" x14ac:dyDescent="0.35">
      <c r="A15" s="23">
        <v>1354101</v>
      </c>
      <c r="B15" s="24">
        <v>45720</v>
      </c>
      <c r="C15" s="23" t="s">
        <v>41</v>
      </c>
      <c r="D15" s="23"/>
      <c r="E15" s="23">
        <v>50</v>
      </c>
      <c r="F15" s="23">
        <v>424.12</v>
      </c>
      <c r="Q15" s="23">
        <v>5823</v>
      </c>
      <c r="R15" s="23" t="s">
        <v>75</v>
      </c>
      <c r="S15" s="23">
        <v>55</v>
      </c>
      <c r="T15" s="23">
        <v>50</v>
      </c>
      <c r="U15" s="23">
        <v>105</v>
      </c>
      <c r="V15" s="23">
        <v>50</v>
      </c>
      <c r="W15" s="23">
        <v>55</v>
      </c>
    </row>
    <row r="16" spans="1:23" ht="15" thickBot="1" x14ac:dyDescent="0.35">
      <c r="A16" s="23">
        <v>1354104</v>
      </c>
      <c r="B16" s="24">
        <v>45720</v>
      </c>
      <c r="C16" s="23" t="s">
        <v>42</v>
      </c>
      <c r="D16" s="23">
        <v>7.51</v>
      </c>
      <c r="E16" s="23"/>
      <c r="F16" s="23">
        <v>416.61</v>
      </c>
      <c r="Q16" s="23">
        <v>5824</v>
      </c>
      <c r="R16" s="23" t="s">
        <v>76</v>
      </c>
      <c r="S16" s="23">
        <v>55</v>
      </c>
      <c r="T16" s="23">
        <v>50</v>
      </c>
      <c r="U16" s="23">
        <v>105</v>
      </c>
      <c r="V16" s="23">
        <v>105</v>
      </c>
      <c r="W16" s="23">
        <v>0</v>
      </c>
    </row>
    <row r="17" spans="1:23" ht="15" thickBot="1" x14ac:dyDescent="0.35">
      <c r="A17" s="23">
        <v>1354108</v>
      </c>
      <c r="B17" s="24">
        <v>45720</v>
      </c>
      <c r="C17" s="23" t="s">
        <v>39</v>
      </c>
      <c r="D17" s="23"/>
      <c r="E17" s="23">
        <v>50</v>
      </c>
      <c r="F17" s="23">
        <v>466.61</v>
      </c>
      <c r="Q17" s="23">
        <v>5825</v>
      </c>
      <c r="R17" s="23" t="s">
        <v>77</v>
      </c>
      <c r="S17" s="23">
        <v>0</v>
      </c>
      <c r="T17" s="23">
        <v>50</v>
      </c>
      <c r="U17" s="23">
        <v>50</v>
      </c>
      <c r="V17" s="23">
        <v>0</v>
      </c>
      <c r="W17" s="23">
        <v>50</v>
      </c>
    </row>
    <row r="18" spans="1:23" ht="15" thickBot="1" x14ac:dyDescent="0.35">
      <c r="A18" s="23">
        <v>1354111</v>
      </c>
      <c r="B18" s="24">
        <v>45720</v>
      </c>
      <c r="C18" s="23" t="s">
        <v>40</v>
      </c>
      <c r="D18" s="23">
        <v>7.51</v>
      </c>
      <c r="E18" s="23"/>
      <c r="F18" s="23">
        <v>459.1</v>
      </c>
      <c r="Q18" s="23">
        <v>5826</v>
      </c>
      <c r="R18" s="23" t="s">
        <v>78</v>
      </c>
      <c r="S18" s="23">
        <v>55</v>
      </c>
      <c r="T18" s="23">
        <v>50</v>
      </c>
      <c r="U18" s="23">
        <v>105</v>
      </c>
      <c r="V18" s="23">
        <v>0</v>
      </c>
      <c r="W18" s="23">
        <v>105</v>
      </c>
    </row>
    <row r="19" spans="1:23" ht="15" thickBot="1" x14ac:dyDescent="0.35">
      <c r="A19" s="23">
        <v>1354115</v>
      </c>
      <c r="B19" s="24">
        <v>45720</v>
      </c>
      <c r="C19" s="23" t="s">
        <v>31</v>
      </c>
      <c r="D19" s="23"/>
      <c r="E19" s="23">
        <v>50</v>
      </c>
      <c r="F19" s="23">
        <v>509.1</v>
      </c>
      <c r="Q19" s="23">
        <v>5827</v>
      </c>
      <c r="R19" s="23" t="s">
        <v>79</v>
      </c>
      <c r="S19" s="23">
        <v>0</v>
      </c>
      <c r="T19" s="23">
        <v>50</v>
      </c>
      <c r="U19" s="23">
        <v>50</v>
      </c>
      <c r="V19" s="23">
        <v>50</v>
      </c>
      <c r="W19" s="23">
        <v>0</v>
      </c>
    </row>
    <row r="20" spans="1:23" ht="15" thickBot="1" x14ac:dyDescent="0.35">
      <c r="A20" s="23">
        <v>1354118</v>
      </c>
      <c r="B20" s="24">
        <v>45720</v>
      </c>
      <c r="C20" s="23" t="s">
        <v>32</v>
      </c>
      <c r="D20" s="23">
        <v>7.51</v>
      </c>
      <c r="E20" s="23"/>
      <c r="F20" s="23">
        <v>501.59</v>
      </c>
      <c r="Q20" s="23">
        <v>5828</v>
      </c>
      <c r="R20" s="23" t="s">
        <v>80</v>
      </c>
      <c r="S20" s="23">
        <v>20</v>
      </c>
      <c r="T20" s="23">
        <v>50</v>
      </c>
      <c r="U20" s="23">
        <v>70</v>
      </c>
      <c r="V20" s="23">
        <v>50</v>
      </c>
      <c r="W20" s="23">
        <v>20</v>
      </c>
    </row>
    <row r="21" spans="1:23" ht="15" thickBot="1" x14ac:dyDescent="0.35">
      <c r="A21" s="23">
        <v>1354122</v>
      </c>
      <c r="B21" s="24">
        <v>45720</v>
      </c>
      <c r="C21" s="23" t="s">
        <v>43</v>
      </c>
      <c r="D21" s="23"/>
      <c r="E21" s="23">
        <v>50</v>
      </c>
      <c r="F21" s="23">
        <v>551.59</v>
      </c>
      <c r="Q21" s="25">
        <v>5829</v>
      </c>
      <c r="R21" s="25" t="s">
        <v>81</v>
      </c>
      <c r="S21" s="25">
        <v>0</v>
      </c>
      <c r="T21" s="25">
        <v>50</v>
      </c>
      <c r="U21" s="25">
        <v>50</v>
      </c>
      <c r="V21" s="25">
        <v>50</v>
      </c>
      <c r="W21" s="25">
        <v>0</v>
      </c>
    </row>
    <row r="22" spans="1:23" ht="15" thickBot="1" x14ac:dyDescent="0.35">
      <c r="A22" s="23">
        <v>1354125</v>
      </c>
      <c r="B22" s="24">
        <v>45720</v>
      </c>
      <c r="C22" s="23" t="s">
        <v>44</v>
      </c>
      <c r="D22" s="23">
        <v>7.51</v>
      </c>
      <c r="E22" s="23"/>
      <c r="F22" s="23">
        <v>544.08000000000004</v>
      </c>
      <c r="Q22" s="23">
        <v>5830</v>
      </c>
      <c r="R22" s="23" t="s">
        <v>82</v>
      </c>
      <c r="S22" s="23">
        <v>-150</v>
      </c>
      <c r="T22" s="23">
        <v>50</v>
      </c>
      <c r="U22" s="23">
        <v>-100</v>
      </c>
      <c r="V22" s="23">
        <v>0</v>
      </c>
      <c r="W22" s="23">
        <v>-100</v>
      </c>
    </row>
    <row r="23" spans="1:23" ht="15" thickBot="1" x14ac:dyDescent="0.35">
      <c r="A23" s="23">
        <v>1354129</v>
      </c>
      <c r="B23" s="24">
        <v>45720</v>
      </c>
      <c r="C23" s="23" t="s">
        <v>49</v>
      </c>
      <c r="D23" s="23"/>
      <c r="E23" s="23">
        <v>50</v>
      </c>
      <c r="F23" s="23">
        <v>594.08000000000004</v>
      </c>
      <c r="Q23" s="23">
        <v>5831</v>
      </c>
      <c r="R23" s="23" t="s">
        <v>83</v>
      </c>
      <c r="S23" s="23">
        <v>0</v>
      </c>
      <c r="T23" s="23">
        <v>50</v>
      </c>
      <c r="U23" s="23">
        <v>50</v>
      </c>
      <c r="V23" s="23">
        <v>50</v>
      </c>
      <c r="W23" s="23">
        <v>0</v>
      </c>
    </row>
    <row r="24" spans="1:23" ht="15" thickBot="1" x14ac:dyDescent="0.35">
      <c r="A24" s="23">
        <v>1354132</v>
      </c>
      <c r="B24" s="24">
        <v>45720</v>
      </c>
      <c r="C24" s="23" t="s">
        <v>50</v>
      </c>
      <c r="D24" s="23">
        <v>7.51</v>
      </c>
      <c r="E24" s="23"/>
      <c r="F24" s="23">
        <v>586.57000000000005</v>
      </c>
      <c r="Q24" s="23">
        <v>5832</v>
      </c>
      <c r="R24" s="23" t="s">
        <v>84</v>
      </c>
      <c r="S24" s="23">
        <v>0</v>
      </c>
      <c r="T24" s="23">
        <v>50</v>
      </c>
      <c r="U24" s="23">
        <v>50</v>
      </c>
      <c r="V24" s="23">
        <v>50</v>
      </c>
      <c r="W24" s="23">
        <v>0</v>
      </c>
    </row>
    <row r="25" spans="1:23" ht="15" thickBot="1" x14ac:dyDescent="0.35">
      <c r="A25" s="23">
        <v>1354136</v>
      </c>
      <c r="B25" s="24">
        <v>45720</v>
      </c>
      <c r="C25" s="23" t="s">
        <v>31</v>
      </c>
      <c r="D25" s="23"/>
      <c r="E25" s="23">
        <v>55</v>
      </c>
      <c r="F25" s="23">
        <v>641.57000000000005</v>
      </c>
      <c r="Q25" s="23">
        <v>5833</v>
      </c>
      <c r="R25" s="23" t="s">
        <v>85</v>
      </c>
      <c r="S25" s="23">
        <v>0</v>
      </c>
      <c r="T25" s="23">
        <v>50</v>
      </c>
      <c r="U25" s="23">
        <v>50</v>
      </c>
      <c r="V25" s="23">
        <v>50</v>
      </c>
      <c r="W25" s="23">
        <v>0</v>
      </c>
    </row>
    <row r="26" spans="1:23" ht="15" thickBot="1" x14ac:dyDescent="0.35">
      <c r="A26" s="23">
        <v>1354139</v>
      </c>
      <c r="B26" s="24">
        <v>45720</v>
      </c>
      <c r="C26" s="23" t="s">
        <v>32</v>
      </c>
      <c r="D26" s="23">
        <v>8.26</v>
      </c>
      <c r="E26" s="23"/>
      <c r="F26" s="23">
        <v>633.30999999999995</v>
      </c>
      <c r="Q26" s="23">
        <v>5834</v>
      </c>
      <c r="R26" s="23" t="s">
        <v>86</v>
      </c>
      <c r="S26" s="23">
        <v>0</v>
      </c>
      <c r="T26" s="23">
        <v>50</v>
      </c>
      <c r="U26" s="23">
        <v>50</v>
      </c>
      <c r="V26" s="23">
        <v>50</v>
      </c>
      <c r="W26" s="23">
        <v>0</v>
      </c>
    </row>
    <row r="27" spans="1:23" ht="15" thickBot="1" x14ac:dyDescent="0.35">
      <c r="A27" s="23">
        <v>1354143</v>
      </c>
      <c r="B27" s="24">
        <v>45720</v>
      </c>
      <c r="C27" s="23" t="s">
        <v>47</v>
      </c>
      <c r="D27" s="23"/>
      <c r="E27" s="23">
        <v>50</v>
      </c>
      <c r="F27" s="23">
        <v>683.31</v>
      </c>
      <c r="Q27" s="23"/>
      <c r="R27" s="23"/>
      <c r="S27" s="29">
        <v>150</v>
      </c>
      <c r="T27" s="29">
        <v>850</v>
      </c>
      <c r="U27" s="29">
        <v>1000</v>
      </c>
      <c r="V27" s="29">
        <v>860</v>
      </c>
      <c r="W27" s="29">
        <v>140</v>
      </c>
    </row>
    <row r="28" spans="1:23" ht="15" thickBot="1" x14ac:dyDescent="0.35">
      <c r="A28" s="23">
        <v>1354146</v>
      </c>
      <c r="B28" s="24">
        <v>45720</v>
      </c>
      <c r="C28" s="23" t="s">
        <v>48</v>
      </c>
      <c r="D28" s="23">
        <v>7.51</v>
      </c>
      <c r="E28" s="23"/>
      <c r="F28" s="23">
        <v>675.8</v>
      </c>
      <c r="W28">
        <f>W22</f>
        <v>-100</v>
      </c>
    </row>
    <row r="29" spans="1:23" ht="15" thickBot="1" x14ac:dyDescent="0.35">
      <c r="A29" s="23">
        <v>1354150</v>
      </c>
      <c r="B29" s="24">
        <v>45720</v>
      </c>
      <c r="C29" s="23" t="s">
        <v>35</v>
      </c>
      <c r="D29" s="23"/>
      <c r="E29" s="23">
        <v>50</v>
      </c>
      <c r="F29" s="23">
        <v>725.8</v>
      </c>
      <c r="W29">
        <f>W28*-1</f>
        <v>100</v>
      </c>
    </row>
    <row r="30" spans="1:23" ht="15" thickBot="1" x14ac:dyDescent="0.35">
      <c r="A30" s="23">
        <v>1354153</v>
      </c>
      <c r="B30" s="24">
        <v>45720</v>
      </c>
      <c r="C30" s="23" t="s">
        <v>36</v>
      </c>
      <c r="D30" s="23">
        <v>7.51</v>
      </c>
      <c r="E30" s="23"/>
      <c r="F30" s="23">
        <v>718.29</v>
      </c>
      <c r="W30">
        <f>W27+W29</f>
        <v>240</v>
      </c>
    </row>
    <row r="31" spans="1:23" ht="15" thickBot="1" x14ac:dyDescent="0.35">
      <c r="A31" s="23">
        <v>1354157</v>
      </c>
      <c r="B31" s="24">
        <v>45720</v>
      </c>
      <c r="C31" s="23" t="s">
        <v>152</v>
      </c>
      <c r="D31" s="23"/>
      <c r="E31" s="23">
        <v>5</v>
      </c>
      <c r="F31" s="23">
        <v>723.29</v>
      </c>
    </row>
    <row r="32" spans="1:23" ht="15" thickBot="1" x14ac:dyDescent="0.35">
      <c r="A32" s="23">
        <v>1354160</v>
      </c>
      <c r="B32" s="24">
        <v>45720</v>
      </c>
      <c r="C32" s="23" t="s">
        <v>153</v>
      </c>
      <c r="D32" s="23">
        <v>0.75</v>
      </c>
      <c r="E32" s="23"/>
      <c r="F32" s="23">
        <v>722.54</v>
      </c>
    </row>
    <row r="33" spans="1:6" ht="15" thickBot="1" x14ac:dyDescent="0.35">
      <c r="A33" s="23">
        <v>1354164</v>
      </c>
      <c r="B33" s="24">
        <v>45720</v>
      </c>
      <c r="C33" s="23" t="s">
        <v>33</v>
      </c>
      <c r="D33" s="23"/>
      <c r="E33" s="23">
        <v>50</v>
      </c>
      <c r="F33" s="23">
        <v>772.54</v>
      </c>
    </row>
    <row r="34" spans="1:6" ht="15" thickBot="1" x14ac:dyDescent="0.35">
      <c r="A34" s="23">
        <v>1354167</v>
      </c>
      <c r="B34" s="24">
        <v>45720</v>
      </c>
      <c r="C34" s="23" t="s">
        <v>34</v>
      </c>
      <c r="D34" s="23">
        <v>7.51</v>
      </c>
      <c r="E34" s="23"/>
      <c r="F34" s="23">
        <v>765.03</v>
      </c>
    </row>
    <row r="35" spans="1:6" ht="15" thickBot="1" x14ac:dyDescent="0.35">
      <c r="A35" s="23">
        <v>1354171</v>
      </c>
      <c r="B35" s="24">
        <v>45720</v>
      </c>
      <c r="C35" s="23" t="s">
        <v>25</v>
      </c>
      <c r="D35" s="23"/>
      <c r="E35" s="23">
        <v>50</v>
      </c>
      <c r="F35" s="23">
        <v>815.03</v>
      </c>
    </row>
    <row r="36" spans="1:6" ht="15" thickBot="1" x14ac:dyDescent="0.35">
      <c r="A36" s="23">
        <v>1354174</v>
      </c>
      <c r="B36" s="24">
        <v>45720</v>
      </c>
      <c r="C36" s="23" t="s">
        <v>26</v>
      </c>
      <c r="D36" s="23">
        <v>7.51</v>
      </c>
      <c r="E36" s="23"/>
      <c r="F36" s="23">
        <v>807.52</v>
      </c>
    </row>
    <row r="37" spans="1:6" ht="15" thickBot="1" x14ac:dyDescent="0.35">
      <c r="A37" s="23">
        <v>1358079</v>
      </c>
      <c r="B37" s="24">
        <v>45722</v>
      </c>
      <c r="C37" s="23" t="s">
        <v>154</v>
      </c>
      <c r="D37" s="23">
        <v>30</v>
      </c>
      <c r="E37" s="23"/>
      <c r="F37" s="23">
        <v>777.52</v>
      </c>
    </row>
    <row r="38" spans="1:6" ht="15" thickBot="1" x14ac:dyDescent="0.35">
      <c r="A38" s="23">
        <v>1358081</v>
      </c>
      <c r="B38" s="24">
        <v>45722</v>
      </c>
      <c r="C38" s="23" t="s">
        <v>155</v>
      </c>
      <c r="D38" s="23">
        <v>276</v>
      </c>
      <c r="E38" s="23"/>
      <c r="F38" s="23">
        <v>501.52</v>
      </c>
    </row>
    <row r="39" spans="1:6" ht="15" thickBot="1" x14ac:dyDescent="0.35">
      <c r="A39" s="23">
        <v>1355691</v>
      </c>
      <c r="B39" s="24">
        <v>45723</v>
      </c>
      <c r="C39" s="23" t="s">
        <v>156</v>
      </c>
      <c r="D39" s="23"/>
      <c r="E39" s="23">
        <v>50</v>
      </c>
      <c r="F39" s="23">
        <v>551.52</v>
      </c>
    </row>
    <row r="40" spans="1:6" ht="15" thickBot="1" x14ac:dyDescent="0.35">
      <c r="A40" s="23">
        <v>1355694</v>
      </c>
      <c r="B40" s="24">
        <v>45723</v>
      </c>
      <c r="C40" s="23" t="s">
        <v>157</v>
      </c>
      <c r="D40" s="23">
        <v>7.51</v>
      </c>
      <c r="E40" s="23"/>
      <c r="F40" s="23">
        <v>544.01</v>
      </c>
    </row>
    <row r="41" spans="1:6" ht="15" thickBot="1" x14ac:dyDescent="0.35">
      <c r="A41" s="23">
        <v>1355711</v>
      </c>
      <c r="B41" s="24">
        <v>45723</v>
      </c>
      <c r="C41" s="23" t="s">
        <v>158</v>
      </c>
      <c r="D41" s="23"/>
      <c r="E41" s="23">
        <v>50</v>
      </c>
      <c r="F41" s="23">
        <v>594.01</v>
      </c>
    </row>
    <row r="42" spans="1:6" ht="15" thickBot="1" x14ac:dyDescent="0.35">
      <c r="A42" s="23">
        <v>1355714</v>
      </c>
      <c r="B42" s="24">
        <v>45723</v>
      </c>
      <c r="C42" s="23" t="s">
        <v>159</v>
      </c>
      <c r="D42" s="23">
        <v>7.51</v>
      </c>
      <c r="E42" s="23"/>
      <c r="F42" s="23">
        <v>586.5</v>
      </c>
    </row>
    <row r="43" spans="1:6" ht="15" thickBot="1" x14ac:dyDescent="0.35">
      <c r="A43" s="23">
        <v>1356588</v>
      </c>
      <c r="B43" s="24">
        <v>45726</v>
      </c>
      <c r="C43" s="23" t="s">
        <v>160</v>
      </c>
      <c r="D43" s="23"/>
      <c r="E43" s="23">
        <v>50</v>
      </c>
      <c r="F43" s="23">
        <v>636.5</v>
      </c>
    </row>
    <row r="44" spans="1:6" ht="15" thickBot="1" x14ac:dyDescent="0.35">
      <c r="A44" s="23">
        <v>1356591</v>
      </c>
      <c r="B44" s="24">
        <v>45726</v>
      </c>
      <c r="C44" s="23" t="s">
        <v>161</v>
      </c>
      <c r="D44" s="23">
        <v>7.51</v>
      </c>
      <c r="E44" s="23"/>
      <c r="F44" s="23">
        <v>628.99</v>
      </c>
    </row>
    <row r="45" spans="1:6" ht="15" thickBot="1" x14ac:dyDescent="0.35">
      <c r="A45" s="25">
        <v>1358168</v>
      </c>
      <c r="B45" s="26">
        <v>45727</v>
      </c>
      <c r="C45" s="25" t="s">
        <v>162</v>
      </c>
      <c r="D45" s="25">
        <v>13</v>
      </c>
      <c r="E45" s="25"/>
      <c r="F45" s="25">
        <v>615.99</v>
      </c>
    </row>
    <row r="46" spans="1:6" ht="15" thickBot="1" x14ac:dyDescent="0.35">
      <c r="A46" s="23">
        <v>1359182</v>
      </c>
      <c r="B46" s="24">
        <v>45735</v>
      </c>
      <c r="C46" s="23" t="s">
        <v>163</v>
      </c>
      <c r="D46" s="23">
        <v>140</v>
      </c>
      <c r="E46" s="23"/>
      <c r="F46" s="23">
        <v>475.99</v>
      </c>
    </row>
    <row r="47" spans="1:6" x14ac:dyDescent="0.3">
      <c r="A47" s="23"/>
      <c r="B47" s="23"/>
      <c r="C47" s="23"/>
      <c r="D47" s="27">
        <v>588.16</v>
      </c>
      <c r="E47" s="27">
        <v>860</v>
      </c>
      <c r="F47" s="27">
        <v>475.99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40294-EE9C-47E2-96E2-34690DC89734}">
  <dimension ref="A1:W41"/>
  <sheetViews>
    <sheetView topLeftCell="A26" workbookViewId="0">
      <selection activeCell="I38" sqref="I38"/>
    </sheetView>
  </sheetViews>
  <sheetFormatPr defaultRowHeight="14.4" x14ac:dyDescent="0.3"/>
  <cols>
    <col min="1" max="1" width="9" bestFit="1" customWidth="1"/>
    <col min="2" max="2" width="11.44140625" bestFit="1" customWidth="1"/>
    <col min="4" max="6" width="9" bestFit="1" customWidth="1"/>
  </cols>
  <sheetData>
    <row r="1" spans="1:23" x14ac:dyDescent="0.3">
      <c r="A1" s="17" t="s">
        <v>4</v>
      </c>
      <c r="B1" s="18"/>
      <c r="C1" s="18"/>
      <c r="D1" s="18"/>
      <c r="E1" s="18"/>
      <c r="F1" s="18"/>
      <c r="I1" s="17" t="s">
        <v>4</v>
      </c>
      <c r="J1" s="18"/>
      <c r="K1" s="18"/>
      <c r="L1" s="18"/>
      <c r="M1" s="18"/>
      <c r="N1" s="18"/>
      <c r="Q1" s="17" t="s">
        <v>13</v>
      </c>
      <c r="R1" s="18"/>
      <c r="S1" s="18"/>
      <c r="T1" s="18"/>
      <c r="U1" s="18"/>
      <c r="V1" s="18"/>
      <c r="W1" s="18"/>
    </row>
    <row r="2" spans="1:23" x14ac:dyDescent="0.3">
      <c r="A2" s="18"/>
      <c r="B2" s="18"/>
      <c r="C2" s="18"/>
      <c r="D2" s="18"/>
      <c r="E2" s="18"/>
      <c r="F2" s="18"/>
      <c r="I2" s="18"/>
      <c r="J2" s="18"/>
      <c r="K2" s="18"/>
      <c r="L2" s="18"/>
      <c r="M2" s="18"/>
      <c r="N2" s="18"/>
      <c r="Q2" s="11" t="s">
        <v>67</v>
      </c>
      <c r="R2" s="18"/>
      <c r="S2" s="18"/>
      <c r="T2" s="18"/>
      <c r="U2" s="18"/>
      <c r="V2" s="18"/>
      <c r="W2" s="18"/>
    </row>
    <row r="3" spans="1:23" x14ac:dyDescent="0.3">
      <c r="A3" s="19" t="s">
        <v>94</v>
      </c>
      <c r="B3" s="18"/>
      <c r="C3" s="18"/>
      <c r="D3" s="18"/>
      <c r="E3" s="18"/>
      <c r="F3" s="18"/>
      <c r="I3" s="19" t="s">
        <v>94</v>
      </c>
      <c r="J3" s="18"/>
      <c r="K3" s="18"/>
      <c r="L3" s="18"/>
      <c r="M3" s="18"/>
      <c r="N3" s="18"/>
      <c r="Q3" s="11" t="s">
        <v>151</v>
      </c>
      <c r="R3" s="18"/>
      <c r="S3" s="18"/>
      <c r="T3" s="18"/>
      <c r="U3" s="18"/>
      <c r="V3" s="18"/>
      <c r="W3" s="18"/>
    </row>
    <row r="4" spans="1:23" x14ac:dyDescent="0.3">
      <c r="A4" s="18"/>
      <c r="B4" s="18"/>
      <c r="C4" s="18"/>
      <c r="D4" s="18"/>
      <c r="E4" s="18"/>
      <c r="F4" s="18"/>
      <c r="I4" s="18"/>
      <c r="J4" s="18"/>
      <c r="K4" s="18"/>
      <c r="L4" s="18"/>
      <c r="M4" s="18"/>
      <c r="N4" s="18"/>
      <c r="Q4" s="11" t="s">
        <v>14</v>
      </c>
      <c r="R4" s="18"/>
      <c r="S4" s="18"/>
      <c r="T4" s="18"/>
      <c r="U4" s="18"/>
      <c r="V4" s="18"/>
      <c r="W4" s="18"/>
    </row>
    <row r="5" spans="1:23" x14ac:dyDescent="0.3">
      <c r="A5" s="20" t="s">
        <v>95</v>
      </c>
      <c r="B5" s="18"/>
      <c r="C5" s="18"/>
      <c r="D5" s="18"/>
      <c r="E5" s="18"/>
      <c r="F5" s="18"/>
      <c r="I5" s="20" t="s">
        <v>98</v>
      </c>
      <c r="J5" s="18"/>
      <c r="K5" s="18"/>
      <c r="L5" s="18"/>
      <c r="M5" s="18"/>
      <c r="N5" s="18"/>
      <c r="Q5" s="18"/>
      <c r="R5" s="18"/>
      <c r="S5" s="18"/>
      <c r="T5" s="18"/>
      <c r="U5" s="18"/>
      <c r="V5" s="18"/>
      <c r="W5" s="18"/>
    </row>
    <row r="6" spans="1:23" x14ac:dyDescent="0.3">
      <c r="A6" s="20" t="s">
        <v>96</v>
      </c>
      <c r="B6" s="18"/>
      <c r="C6" s="18"/>
      <c r="D6" s="18"/>
      <c r="E6" s="18"/>
      <c r="F6" s="18"/>
      <c r="I6" s="20" t="s">
        <v>99</v>
      </c>
      <c r="J6" s="18"/>
      <c r="K6" s="18"/>
      <c r="L6" s="18"/>
      <c r="M6" s="18"/>
      <c r="N6" s="18"/>
      <c r="Q6" s="18"/>
      <c r="R6" s="18"/>
      <c r="S6" s="18"/>
      <c r="T6" s="18"/>
      <c r="U6" s="18"/>
      <c r="V6" s="18"/>
      <c r="W6" s="18"/>
    </row>
    <row r="7" spans="1:23" x14ac:dyDescent="0.3">
      <c r="A7" s="20" t="s">
        <v>150</v>
      </c>
      <c r="B7" s="18"/>
      <c r="C7" s="18"/>
      <c r="D7" s="18"/>
      <c r="E7" s="18"/>
      <c r="F7" s="18"/>
      <c r="I7" s="20" t="s">
        <v>150</v>
      </c>
      <c r="J7" s="18"/>
      <c r="K7" s="18"/>
      <c r="L7" s="18"/>
      <c r="M7" s="18"/>
      <c r="N7" s="18"/>
      <c r="Q7" s="18"/>
      <c r="R7" s="18"/>
      <c r="S7" s="18"/>
      <c r="T7" s="18"/>
      <c r="U7" s="18"/>
      <c r="V7" s="18"/>
      <c r="W7" s="18"/>
    </row>
    <row r="8" spans="1:23" x14ac:dyDescent="0.3">
      <c r="A8" s="21"/>
      <c r="B8" s="18"/>
      <c r="C8" s="18"/>
      <c r="D8" s="18"/>
      <c r="E8" s="18"/>
      <c r="F8" s="18"/>
      <c r="I8" s="21"/>
      <c r="J8" s="18"/>
      <c r="K8" s="18"/>
      <c r="L8" s="18"/>
      <c r="M8" s="18"/>
      <c r="N8" s="18"/>
      <c r="Q8" s="11" t="s">
        <v>69</v>
      </c>
      <c r="R8" s="18"/>
      <c r="S8" s="18"/>
      <c r="T8" s="18"/>
      <c r="U8" s="18"/>
      <c r="V8" s="18"/>
      <c r="W8" s="18"/>
    </row>
    <row r="9" spans="1:23" ht="15" thickBot="1" x14ac:dyDescent="0.35">
      <c r="A9" s="22" t="s">
        <v>6</v>
      </c>
      <c r="B9" s="22" t="s">
        <v>7</v>
      </c>
      <c r="C9" s="22" t="s">
        <v>8</v>
      </c>
      <c r="D9" s="22" t="s">
        <v>9</v>
      </c>
      <c r="E9" s="22" t="s">
        <v>10</v>
      </c>
      <c r="F9" s="22" t="s">
        <v>11</v>
      </c>
      <c r="I9" s="22" t="s">
        <v>6</v>
      </c>
      <c r="J9" s="22" t="s">
        <v>7</v>
      </c>
      <c r="K9" s="22" t="s">
        <v>8</v>
      </c>
      <c r="L9" s="22" t="s">
        <v>9</v>
      </c>
      <c r="M9" s="22" t="s">
        <v>10</v>
      </c>
      <c r="N9" s="22" t="s">
        <v>11</v>
      </c>
      <c r="Q9" s="28" t="s">
        <v>15</v>
      </c>
      <c r="R9" s="28" t="s">
        <v>16</v>
      </c>
      <c r="S9" s="28" t="s">
        <v>0</v>
      </c>
      <c r="T9" s="28" t="s">
        <v>17</v>
      </c>
      <c r="U9" s="28" t="s">
        <v>1</v>
      </c>
      <c r="V9" s="28" t="s">
        <v>2</v>
      </c>
      <c r="W9" s="28" t="s">
        <v>3</v>
      </c>
    </row>
    <row r="10" spans="1:23" ht="15" thickBot="1" x14ac:dyDescent="0.35">
      <c r="A10" s="23"/>
      <c r="B10" s="23"/>
      <c r="C10" s="23" t="s">
        <v>12</v>
      </c>
      <c r="D10" s="23"/>
      <c r="E10" s="23"/>
      <c r="F10" s="23">
        <v>4.8099999999999996</v>
      </c>
      <c r="G10">
        <f>F10</f>
        <v>4.8099999999999996</v>
      </c>
      <c r="I10" s="23"/>
      <c r="J10" s="23"/>
      <c r="K10" s="23" t="s">
        <v>12</v>
      </c>
      <c r="L10" s="23"/>
      <c r="M10" s="23"/>
      <c r="N10" s="23">
        <v>0</v>
      </c>
      <c r="Q10" s="23">
        <v>5817</v>
      </c>
      <c r="R10" s="23" t="s">
        <v>70</v>
      </c>
      <c r="S10" s="23">
        <v>0</v>
      </c>
      <c r="T10" s="23">
        <v>50</v>
      </c>
      <c r="U10" s="23">
        <v>50</v>
      </c>
      <c r="V10" s="23">
        <v>50</v>
      </c>
      <c r="W10" s="23">
        <v>0</v>
      </c>
    </row>
    <row r="11" spans="1:23" ht="15" thickBot="1" x14ac:dyDescent="0.35">
      <c r="A11" s="23">
        <v>1349605</v>
      </c>
      <c r="B11" s="24">
        <v>45691</v>
      </c>
      <c r="C11" s="23" t="s">
        <v>49</v>
      </c>
      <c r="D11" s="23"/>
      <c r="E11" s="23">
        <v>50</v>
      </c>
      <c r="F11" s="23">
        <v>54.81</v>
      </c>
      <c r="G11">
        <f>G10+E11-D11</f>
        <v>54.81</v>
      </c>
      <c r="I11" s="23"/>
      <c r="J11" s="23"/>
      <c r="K11" s="23"/>
      <c r="L11" s="27">
        <v>0</v>
      </c>
      <c r="M11" s="27">
        <v>0</v>
      </c>
      <c r="N11" s="27">
        <v>0</v>
      </c>
      <c r="Q11" s="23">
        <v>5819</v>
      </c>
      <c r="R11" s="23" t="s">
        <v>71</v>
      </c>
      <c r="S11" s="23">
        <v>0</v>
      </c>
      <c r="T11" s="23">
        <v>50</v>
      </c>
      <c r="U11" s="23">
        <v>50</v>
      </c>
      <c r="V11" s="23">
        <v>50</v>
      </c>
      <c r="W11" s="23">
        <v>0</v>
      </c>
    </row>
    <row r="12" spans="1:23" ht="15" thickBot="1" x14ac:dyDescent="0.35">
      <c r="A12" s="23">
        <v>1349608</v>
      </c>
      <c r="B12" s="24">
        <v>45691</v>
      </c>
      <c r="C12" s="23" t="s">
        <v>50</v>
      </c>
      <c r="D12" s="23">
        <v>7.51</v>
      </c>
      <c r="E12" s="23"/>
      <c r="F12" s="23">
        <v>47.3</v>
      </c>
      <c r="G12">
        <f t="shared" ref="G12:G40" si="0">G11+E12-D12</f>
        <v>47.300000000000004</v>
      </c>
      <c r="Q12" s="23">
        <v>5820</v>
      </c>
      <c r="R12" s="23" t="s">
        <v>72</v>
      </c>
      <c r="S12" s="23">
        <v>250</v>
      </c>
      <c r="T12" s="23">
        <v>50</v>
      </c>
      <c r="U12" s="23">
        <v>300</v>
      </c>
      <c r="V12" s="23">
        <v>350</v>
      </c>
      <c r="W12" s="23">
        <v>-50</v>
      </c>
    </row>
    <row r="13" spans="1:23" ht="15" thickBot="1" x14ac:dyDescent="0.35">
      <c r="A13" s="23">
        <v>1344234</v>
      </c>
      <c r="B13" s="24">
        <v>45692</v>
      </c>
      <c r="C13" s="23" t="s">
        <v>124</v>
      </c>
      <c r="D13" s="23"/>
      <c r="E13" s="23">
        <v>50</v>
      </c>
      <c r="F13" s="23">
        <v>97.3</v>
      </c>
      <c r="G13">
        <f t="shared" si="0"/>
        <v>97.300000000000011</v>
      </c>
      <c r="Q13" s="23">
        <v>5821</v>
      </c>
      <c r="R13" s="23" t="s">
        <v>73</v>
      </c>
      <c r="S13" s="23">
        <v>50</v>
      </c>
      <c r="T13" s="23">
        <v>60</v>
      </c>
      <c r="U13" s="23">
        <v>110</v>
      </c>
      <c r="V13" s="23">
        <v>0</v>
      </c>
      <c r="W13" s="23">
        <v>110</v>
      </c>
    </row>
    <row r="14" spans="1:23" ht="15" thickBot="1" x14ac:dyDescent="0.35">
      <c r="A14" s="23">
        <v>1344237</v>
      </c>
      <c r="B14" s="24">
        <v>45692</v>
      </c>
      <c r="C14" s="23" t="s">
        <v>125</v>
      </c>
      <c r="D14" s="23">
        <v>7.51</v>
      </c>
      <c r="E14" s="23"/>
      <c r="F14" s="23">
        <v>89.79</v>
      </c>
      <c r="G14">
        <f t="shared" si="0"/>
        <v>89.79</v>
      </c>
      <c r="Q14" s="23">
        <v>5822</v>
      </c>
      <c r="R14" s="23" t="s">
        <v>74</v>
      </c>
      <c r="S14" s="23">
        <v>0</v>
      </c>
      <c r="T14" s="23">
        <v>55</v>
      </c>
      <c r="U14" s="23">
        <v>55</v>
      </c>
      <c r="V14" s="23">
        <v>0</v>
      </c>
      <c r="W14" s="23">
        <v>55</v>
      </c>
    </row>
    <row r="15" spans="1:23" ht="15" thickBot="1" x14ac:dyDescent="0.35">
      <c r="A15" s="23">
        <v>1344255</v>
      </c>
      <c r="B15" s="24">
        <v>45692</v>
      </c>
      <c r="C15" s="23" t="s">
        <v>126</v>
      </c>
      <c r="D15" s="23"/>
      <c r="E15" s="23">
        <v>50</v>
      </c>
      <c r="F15" s="23">
        <v>139.79</v>
      </c>
      <c r="G15">
        <f t="shared" si="0"/>
        <v>139.79000000000002</v>
      </c>
      <c r="Q15" s="23">
        <v>5823</v>
      </c>
      <c r="R15" s="23" t="s">
        <v>75</v>
      </c>
      <c r="S15" s="23">
        <v>0</v>
      </c>
      <c r="T15" s="23">
        <v>55</v>
      </c>
      <c r="U15" s="23">
        <v>55</v>
      </c>
      <c r="V15" s="23">
        <v>0</v>
      </c>
      <c r="W15" s="23">
        <v>55</v>
      </c>
    </row>
    <row r="16" spans="1:23" ht="15" thickBot="1" x14ac:dyDescent="0.35">
      <c r="A16" s="23">
        <v>1344258</v>
      </c>
      <c r="B16" s="24">
        <v>45692</v>
      </c>
      <c r="C16" s="23" t="s">
        <v>127</v>
      </c>
      <c r="D16" s="23">
        <v>7.51</v>
      </c>
      <c r="E16" s="23"/>
      <c r="F16" s="23">
        <v>132.28</v>
      </c>
      <c r="G16">
        <f t="shared" si="0"/>
        <v>132.28000000000003</v>
      </c>
      <c r="Q16" s="23">
        <v>5824</v>
      </c>
      <c r="R16" s="23" t="s">
        <v>76</v>
      </c>
      <c r="S16" s="23">
        <v>0</v>
      </c>
      <c r="T16" s="23">
        <v>55</v>
      </c>
      <c r="U16" s="23">
        <v>55</v>
      </c>
      <c r="V16" s="23">
        <v>0</v>
      </c>
      <c r="W16" s="23">
        <v>55</v>
      </c>
    </row>
    <row r="17" spans="1:23" ht="15" thickBot="1" x14ac:dyDescent="0.35">
      <c r="A17" s="23">
        <v>1344262</v>
      </c>
      <c r="B17" s="24">
        <v>45692</v>
      </c>
      <c r="C17" s="23" t="s">
        <v>128</v>
      </c>
      <c r="D17" s="23"/>
      <c r="E17" s="23">
        <v>50</v>
      </c>
      <c r="F17" s="23">
        <v>182.28</v>
      </c>
      <c r="G17">
        <f t="shared" si="0"/>
        <v>182.28000000000003</v>
      </c>
      <c r="Q17" s="23">
        <v>5825</v>
      </c>
      <c r="R17" s="23" t="s">
        <v>77</v>
      </c>
      <c r="S17" s="23">
        <v>100</v>
      </c>
      <c r="T17" s="23">
        <v>50</v>
      </c>
      <c r="U17" s="23">
        <v>150</v>
      </c>
      <c r="V17" s="23">
        <v>150</v>
      </c>
      <c r="W17" s="23">
        <v>0</v>
      </c>
    </row>
    <row r="18" spans="1:23" ht="15" thickBot="1" x14ac:dyDescent="0.35">
      <c r="A18" s="23">
        <v>1344265</v>
      </c>
      <c r="B18" s="24">
        <v>45692</v>
      </c>
      <c r="C18" s="23" t="s">
        <v>129</v>
      </c>
      <c r="D18" s="23">
        <v>7.51</v>
      </c>
      <c r="E18" s="23"/>
      <c r="F18" s="23">
        <v>174.77</v>
      </c>
      <c r="G18">
        <f t="shared" si="0"/>
        <v>174.77000000000004</v>
      </c>
      <c r="Q18" s="23">
        <v>5826</v>
      </c>
      <c r="R18" s="23" t="s">
        <v>78</v>
      </c>
      <c r="S18" s="23">
        <v>50</v>
      </c>
      <c r="T18" s="23">
        <v>55</v>
      </c>
      <c r="U18" s="23">
        <v>105</v>
      </c>
      <c r="V18" s="23">
        <v>50</v>
      </c>
      <c r="W18" s="23">
        <v>55</v>
      </c>
    </row>
    <row r="19" spans="1:23" ht="15" thickBot="1" x14ac:dyDescent="0.35">
      <c r="A19" s="23">
        <v>1344269</v>
      </c>
      <c r="B19" s="24">
        <v>45692</v>
      </c>
      <c r="C19" s="23" t="s">
        <v>130</v>
      </c>
      <c r="D19" s="23"/>
      <c r="E19" s="23">
        <v>50</v>
      </c>
      <c r="F19" s="23">
        <v>224.77</v>
      </c>
      <c r="G19">
        <f t="shared" si="0"/>
        <v>224.77000000000004</v>
      </c>
      <c r="Q19" s="23">
        <v>5827</v>
      </c>
      <c r="R19" s="23" t="s">
        <v>79</v>
      </c>
      <c r="S19" s="23">
        <v>0</v>
      </c>
      <c r="T19" s="23">
        <v>50</v>
      </c>
      <c r="U19" s="23">
        <v>50</v>
      </c>
      <c r="V19" s="23">
        <v>50</v>
      </c>
      <c r="W19" s="23">
        <v>0</v>
      </c>
    </row>
    <row r="20" spans="1:23" ht="15" thickBot="1" x14ac:dyDescent="0.35">
      <c r="A20" s="23">
        <v>1344272</v>
      </c>
      <c r="B20" s="24">
        <v>45692</v>
      </c>
      <c r="C20" s="23" t="s">
        <v>131</v>
      </c>
      <c r="D20" s="23">
        <v>7.51</v>
      </c>
      <c r="E20" s="23"/>
      <c r="F20" s="23">
        <v>217.26</v>
      </c>
      <c r="G20">
        <f t="shared" si="0"/>
        <v>217.26000000000005</v>
      </c>
      <c r="Q20" s="23">
        <v>5828</v>
      </c>
      <c r="R20" s="23" t="s">
        <v>80</v>
      </c>
      <c r="S20" s="23">
        <v>-30</v>
      </c>
      <c r="T20" s="23">
        <v>50</v>
      </c>
      <c r="U20" s="23">
        <v>20</v>
      </c>
      <c r="V20" s="23">
        <v>0</v>
      </c>
      <c r="W20" s="23">
        <v>20</v>
      </c>
    </row>
    <row r="21" spans="1:23" ht="15" thickBot="1" x14ac:dyDescent="0.35">
      <c r="A21" s="23">
        <v>1344283</v>
      </c>
      <c r="B21" s="24">
        <v>45692</v>
      </c>
      <c r="C21" s="23" t="s">
        <v>132</v>
      </c>
      <c r="D21" s="23"/>
      <c r="E21" s="23">
        <v>100</v>
      </c>
      <c r="F21" s="23">
        <v>317.26</v>
      </c>
      <c r="G21">
        <f t="shared" si="0"/>
        <v>317.26000000000005</v>
      </c>
      <c r="Q21" s="23">
        <v>5829</v>
      </c>
      <c r="R21" s="23" t="s">
        <v>81</v>
      </c>
      <c r="S21" s="23">
        <v>0</v>
      </c>
      <c r="T21" s="23">
        <v>50</v>
      </c>
      <c r="U21" s="23">
        <v>50</v>
      </c>
      <c r="V21" s="23">
        <v>50</v>
      </c>
      <c r="W21" s="23">
        <v>0</v>
      </c>
    </row>
    <row r="22" spans="1:23" ht="15" thickBot="1" x14ac:dyDescent="0.35">
      <c r="A22" s="23">
        <v>1344286</v>
      </c>
      <c r="B22" s="24">
        <v>45692</v>
      </c>
      <c r="C22" s="23" t="s">
        <v>133</v>
      </c>
      <c r="D22" s="23">
        <v>15.01</v>
      </c>
      <c r="E22" s="23"/>
      <c r="F22" s="23">
        <v>302.25</v>
      </c>
      <c r="G22">
        <f t="shared" si="0"/>
        <v>302.25000000000006</v>
      </c>
      <c r="Q22" s="23">
        <v>5830</v>
      </c>
      <c r="R22" s="23" t="s">
        <v>82</v>
      </c>
      <c r="S22" s="23">
        <v>-100</v>
      </c>
      <c r="T22" s="23">
        <v>50</v>
      </c>
      <c r="U22" s="23">
        <v>-50</v>
      </c>
      <c r="V22" s="23">
        <v>100</v>
      </c>
      <c r="W22" s="23">
        <v>-150</v>
      </c>
    </row>
    <row r="23" spans="1:23" ht="15" thickBot="1" x14ac:dyDescent="0.35">
      <c r="A23" s="23">
        <v>1344290</v>
      </c>
      <c r="B23" s="24">
        <v>45692</v>
      </c>
      <c r="C23" s="23" t="s">
        <v>134</v>
      </c>
      <c r="D23" s="23"/>
      <c r="E23" s="23">
        <v>50</v>
      </c>
      <c r="F23" s="23">
        <v>352.25</v>
      </c>
      <c r="G23">
        <f t="shared" si="0"/>
        <v>352.25000000000006</v>
      </c>
      <c r="Q23" s="25">
        <v>5831</v>
      </c>
      <c r="R23" s="25" t="s">
        <v>83</v>
      </c>
      <c r="S23" s="25">
        <v>0</v>
      </c>
      <c r="T23" s="25">
        <v>50</v>
      </c>
      <c r="U23" s="25">
        <v>50</v>
      </c>
      <c r="V23" s="25">
        <v>50</v>
      </c>
      <c r="W23" s="25">
        <v>0</v>
      </c>
    </row>
    <row r="24" spans="1:23" ht="15" thickBot="1" x14ac:dyDescent="0.35">
      <c r="A24" s="23">
        <v>1344293</v>
      </c>
      <c r="B24" s="24">
        <v>45692</v>
      </c>
      <c r="C24" s="23" t="s">
        <v>135</v>
      </c>
      <c r="D24" s="23">
        <v>7.51</v>
      </c>
      <c r="E24" s="23"/>
      <c r="F24" s="23">
        <v>344.74</v>
      </c>
      <c r="G24">
        <f t="shared" si="0"/>
        <v>344.74000000000007</v>
      </c>
      <c r="Q24" s="23">
        <v>5832</v>
      </c>
      <c r="R24" s="23" t="s">
        <v>84</v>
      </c>
      <c r="S24" s="23">
        <v>0</v>
      </c>
      <c r="T24" s="23">
        <v>50</v>
      </c>
      <c r="U24" s="23">
        <v>50</v>
      </c>
      <c r="V24" s="23">
        <v>50</v>
      </c>
      <c r="W24" s="23">
        <v>0</v>
      </c>
    </row>
    <row r="25" spans="1:23" ht="15" thickBot="1" x14ac:dyDescent="0.35">
      <c r="A25" s="23">
        <v>1344297</v>
      </c>
      <c r="B25" s="24">
        <v>45692</v>
      </c>
      <c r="C25" s="23" t="s">
        <v>136</v>
      </c>
      <c r="D25" s="23"/>
      <c r="E25" s="23">
        <v>50</v>
      </c>
      <c r="F25" s="23">
        <v>394.74</v>
      </c>
      <c r="G25">
        <f t="shared" si="0"/>
        <v>394.74000000000007</v>
      </c>
      <c r="Q25" s="23">
        <v>5833</v>
      </c>
      <c r="R25" s="23" t="s">
        <v>85</v>
      </c>
      <c r="S25" s="23">
        <v>0</v>
      </c>
      <c r="T25" s="23">
        <v>50</v>
      </c>
      <c r="U25" s="23">
        <v>50</v>
      </c>
      <c r="V25" s="23">
        <v>50</v>
      </c>
      <c r="W25" s="23">
        <v>0</v>
      </c>
    </row>
    <row r="26" spans="1:23" ht="15" thickBot="1" x14ac:dyDescent="0.35">
      <c r="A26" s="23">
        <v>1344300</v>
      </c>
      <c r="B26" s="24">
        <v>45692</v>
      </c>
      <c r="C26" s="23" t="s">
        <v>137</v>
      </c>
      <c r="D26" s="23">
        <v>7.51</v>
      </c>
      <c r="E26" s="23"/>
      <c r="F26" s="23">
        <v>387.23</v>
      </c>
      <c r="G26">
        <f t="shared" si="0"/>
        <v>387.23000000000008</v>
      </c>
      <c r="Q26" s="23">
        <v>5834</v>
      </c>
      <c r="R26" s="23" t="s">
        <v>86</v>
      </c>
      <c r="S26" s="23">
        <v>0</v>
      </c>
      <c r="T26" s="23">
        <v>50</v>
      </c>
      <c r="U26" s="23">
        <v>50</v>
      </c>
      <c r="V26" s="23">
        <v>50</v>
      </c>
      <c r="W26" s="23">
        <v>0</v>
      </c>
    </row>
    <row r="27" spans="1:23" ht="15" thickBot="1" x14ac:dyDescent="0.35">
      <c r="A27" s="23">
        <v>1344304</v>
      </c>
      <c r="B27" s="24">
        <v>45692</v>
      </c>
      <c r="C27" s="23" t="s">
        <v>138</v>
      </c>
      <c r="D27" s="23"/>
      <c r="E27" s="23">
        <v>50</v>
      </c>
      <c r="F27" s="23">
        <v>437.23</v>
      </c>
      <c r="G27">
        <f t="shared" si="0"/>
        <v>437.23000000000008</v>
      </c>
      <c r="Q27" s="23"/>
      <c r="R27" s="23"/>
      <c r="S27" s="29">
        <v>320</v>
      </c>
      <c r="T27" s="29">
        <v>880</v>
      </c>
      <c r="U27" s="29">
        <v>1200</v>
      </c>
      <c r="V27" s="29">
        <v>1050</v>
      </c>
      <c r="W27" s="29">
        <v>150</v>
      </c>
    </row>
    <row r="28" spans="1:23" ht="15" thickBot="1" x14ac:dyDescent="0.35">
      <c r="A28" s="23">
        <v>1344307</v>
      </c>
      <c r="B28" s="24">
        <v>45692</v>
      </c>
      <c r="C28" s="23" t="s">
        <v>139</v>
      </c>
      <c r="D28" s="23">
        <v>7.51</v>
      </c>
      <c r="E28" s="23"/>
      <c r="F28" s="23">
        <v>429.72</v>
      </c>
      <c r="G28">
        <f t="shared" si="0"/>
        <v>429.72000000000008</v>
      </c>
      <c r="W28">
        <f>W12+W22</f>
        <v>-200</v>
      </c>
    </row>
    <row r="29" spans="1:23" ht="15" thickBot="1" x14ac:dyDescent="0.35">
      <c r="A29" s="23">
        <v>1346552</v>
      </c>
      <c r="B29" s="24">
        <v>45698</v>
      </c>
      <c r="C29" s="23" t="s">
        <v>140</v>
      </c>
      <c r="D29" s="23"/>
      <c r="E29" s="23">
        <v>50</v>
      </c>
      <c r="F29" s="23">
        <v>479.72</v>
      </c>
      <c r="G29">
        <f t="shared" si="0"/>
        <v>479.72000000000008</v>
      </c>
      <c r="W29">
        <f>W28*-1</f>
        <v>200</v>
      </c>
    </row>
    <row r="30" spans="1:23" ht="15" thickBot="1" x14ac:dyDescent="0.35">
      <c r="A30" s="23">
        <v>1346555</v>
      </c>
      <c r="B30" s="24">
        <v>45698</v>
      </c>
      <c r="C30" s="23" t="s">
        <v>141</v>
      </c>
      <c r="D30" s="23">
        <v>7.51</v>
      </c>
      <c r="E30" s="23"/>
      <c r="F30" s="23">
        <v>472.21</v>
      </c>
      <c r="G30">
        <f t="shared" si="0"/>
        <v>472.21000000000009</v>
      </c>
      <c r="W30">
        <f>W29+W27</f>
        <v>350</v>
      </c>
    </row>
    <row r="31" spans="1:23" ht="15" thickBot="1" x14ac:dyDescent="0.35">
      <c r="A31" s="23">
        <v>1347609</v>
      </c>
      <c r="B31" s="24">
        <v>45700</v>
      </c>
      <c r="C31" s="23" t="s">
        <v>142</v>
      </c>
      <c r="D31" s="23"/>
      <c r="E31" s="23">
        <v>50</v>
      </c>
      <c r="F31" s="23">
        <v>522.21</v>
      </c>
      <c r="G31">
        <f t="shared" si="0"/>
        <v>522.21</v>
      </c>
    </row>
    <row r="32" spans="1:23" ht="15" thickBot="1" x14ac:dyDescent="0.35">
      <c r="A32" s="23">
        <v>1347612</v>
      </c>
      <c r="B32" s="24">
        <v>45700</v>
      </c>
      <c r="C32" s="23" t="s">
        <v>143</v>
      </c>
      <c r="D32" s="23">
        <v>7.51</v>
      </c>
      <c r="E32" s="23"/>
      <c r="F32" s="23">
        <v>514.70000000000005</v>
      </c>
      <c r="G32">
        <f t="shared" si="0"/>
        <v>514.70000000000005</v>
      </c>
    </row>
    <row r="33" spans="1:7" ht="15" thickBot="1" x14ac:dyDescent="0.35">
      <c r="A33" s="23">
        <v>1351050</v>
      </c>
      <c r="B33" s="24">
        <v>45708</v>
      </c>
      <c r="C33" s="23" t="s">
        <v>37</v>
      </c>
      <c r="D33" s="23"/>
      <c r="E33" s="23">
        <v>150</v>
      </c>
      <c r="F33" s="23">
        <v>664.7</v>
      </c>
      <c r="G33">
        <f t="shared" si="0"/>
        <v>664.7</v>
      </c>
    </row>
    <row r="34" spans="1:7" ht="15" thickBot="1" x14ac:dyDescent="0.35">
      <c r="A34" s="23">
        <v>1351053</v>
      </c>
      <c r="B34" s="24">
        <v>45708</v>
      </c>
      <c r="C34" s="23" t="s">
        <v>38</v>
      </c>
      <c r="D34" s="23">
        <v>22.52</v>
      </c>
      <c r="E34" s="23"/>
      <c r="F34" s="23">
        <v>642.17999999999995</v>
      </c>
      <c r="G34">
        <f t="shared" si="0"/>
        <v>642.18000000000006</v>
      </c>
    </row>
    <row r="35" spans="1:7" ht="15" thickBot="1" x14ac:dyDescent="0.35">
      <c r="A35" s="23">
        <v>1350585</v>
      </c>
      <c r="B35" s="24">
        <v>45714</v>
      </c>
      <c r="C35" s="23" t="s">
        <v>144</v>
      </c>
      <c r="D35" s="23"/>
      <c r="E35" s="23">
        <v>250</v>
      </c>
      <c r="F35" s="23">
        <v>892.18</v>
      </c>
      <c r="G35">
        <f t="shared" si="0"/>
        <v>892.18000000000006</v>
      </c>
    </row>
    <row r="36" spans="1:7" ht="15" thickBot="1" x14ac:dyDescent="0.35">
      <c r="A36" s="25">
        <v>1350588</v>
      </c>
      <c r="B36" s="26">
        <v>45714</v>
      </c>
      <c r="C36" s="25" t="s">
        <v>145</v>
      </c>
      <c r="D36" s="25">
        <v>37.520000000000003</v>
      </c>
      <c r="E36" s="25"/>
      <c r="F36" s="25">
        <v>854.66</v>
      </c>
      <c r="G36">
        <f t="shared" si="0"/>
        <v>854.66000000000008</v>
      </c>
    </row>
    <row r="37" spans="1:7" ht="15" thickBot="1" x14ac:dyDescent="0.35">
      <c r="A37" s="23">
        <v>1350592</v>
      </c>
      <c r="B37" s="24">
        <v>45714</v>
      </c>
      <c r="C37" s="23" t="s">
        <v>146</v>
      </c>
      <c r="D37" s="23"/>
      <c r="E37" s="23">
        <v>50</v>
      </c>
      <c r="F37" s="23">
        <v>904.66</v>
      </c>
      <c r="G37">
        <f t="shared" si="0"/>
        <v>904.66000000000008</v>
      </c>
    </row>
    <row r="38" spans="1:7" ht="15" thickBot="1" x14ac:dyDescent="0.35">
      <c r="A38" s="23">
        <v>1350595</v>
      </c>
      <c r="B38" s="24">
        <v>45714</v>
      </c>
      <c r="C38" s="23" t="s">
        <v>147</v>
      </c>
      <c r="D38" s="23">
        <v>7.51</v>
      </c>
      <c r="E38" s="23"/>
      <c r="F38" s="23">
        <v>897.15</v>
      </c>
      <c r="G38">
        <f t="shared" si="0"/>
        <v>897.15000000000009</v>
      </c>
    </row>
    <row r="39" spans="1:7" ht="15" thickBot="1" x14ac:dyDescent="0.35">
      <c r="A39" s="23">
        <v>1353512</v>
      </c>
      <c r="B39" s="24">
        <v>45715</v>
      </c>
      <c r="C39" s="23" t="s">
        <v>148</v>
      </c>
      <c r="D39" s="23">
        <v>150</v>
      </c>
      <c r="E39" s="23"/>
      <c r="F39" s="23">
        <v>747.15</v>
      </c>
      <c r="G39">
        <f t="shared" si="0"/>
        <v>747.15000000000009</v>
      </c>
    </row>
    <row r="40" spans="1:7" ht="15" thickBot="1" x14ac:dyDescent="0.35">
      <c r="A40" s="23">
        <v>1355029</v>
      </c>
      <c r="B40" s="24">
        <v>45716</v>
      </c>
      <c r="C40" s="23" t="s">
        <v>149</v>
      </c>
      <c r="D40" s="23">
        <v>543</v>
      </c>
      <c r="E40" s="23"/>
      <c r="F40" s="23">
        <v>354.15</v>
      </c>
      <c r="G40">
        <f t="shared" si="0"/>
        <v>204.15000000000009</v>
      </c>
    </row>
    <row r="41" spans="1:7" x14ac:dyDescent="0.3">
      <c r="A41" s="23"/>
      <c r="B41" s="23"/>
      <c r="C41" s="23"/>
      <c r="D41" s="27">
        <v>850.66</v>
      </c>
      <c r="E41" s="27">
        <v>1050</v>
      </c>
      <c r="F41" s="27">
        <v>354.15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40575-26CC-4474-B69C-5460C987C9BC}">
  <dimension ref="A1:X42"/>
  <sheetViews>
    <sheetView topLeftCell="A19" workbookViewId="0">
      <selection activeCell="A39" sqref="A39"/>
    </sheetView>
  </sheetViews>
  <sheetFormatPr defaultRowHeight="14.4" x14ac:dyDescent="0.3"/>
  <cols>
    <col min="1" max="1" width="9.5546875" bestFit="1" customWidth="1"/>
    <col min="2" max="2" width="12.5546875" bestFit="1" customWidth="1"/>
    <col min="3" max="3" width="22.21875" customWidth="1"/>
    <col min="4" max="6" width="9" bestFit="1" customWidth="1"/>
  </cols>
  <sheetData>
    <row r="1" spans="1:24" x14ac:dyDescent="0.3">
      <c r="A1" s="30" t="s">
        <v>4</v>
      </c>
      <c r="B1" s="31"/>
      <c r="C1" s="31"/>
      <c r="D1" s="31"/>
      <c r="E1" s="31"/>
      <c r="F1" s="31"/>
      <c r="J1" s="17" t="s">
        <v>4</v>
      </c>
      <c r="K1" s="18"/>
      <c r="L1" s="18"/>
      <c r="M1" s="18"/>
      <c r="N1" s="18"/>
      <c r="O1" s="18"/>
      <c r="R1" s="17" t="s">
        <v>13</v>
      </c>
      <c r="S1" s="18"/>
      <c r="T1" s="18"/>
      <c r="U1" s="18"/>
      <c r="V1" s="18"/>
      <c r="W1" s="18"/>
      <c r="X1" s="18"/>
    </row>
    <row r="2" spans="1:24" x14ac:dyDescent="0.3">
      <c r="A2" s="31"/>
      <c r="B2" s="31"/>
      <c r="C2" s="31"/>
      <c r="D2" s="31"/>
      <c r="E2" s="31"/>
      <c r="F2" s="31"/>
      <c r="J2" s="18"/>
      <c r="K2" s="18"/>
      <c r="L2" s="18"/>
      <c r="M2" s="18"/>
      <c r="N2" s="18"/>
      <c r="O2" s="18"/>
      <c r="R2" s="11" t="s">
        <v>67</v>
      </c>
      <c r="S2" s="18"/>
      <c r="T2" s="18"/>
      <c r="U2" s="18"/>
      <c r="V2" s="18"/>
      <c r="W2" s="18"/>
      <c r="X2" s="18"/>
    </row>
    <row r="3" spans="1:24" x14ac:dyDescent="0.3">
      <c r="A3" s="32" t="s">
        <v>118</v>
      </c>
      <c r="B3" s="31"/>
      <c r="C3" s="31"/>
      <c r="D3" s="31"/>
      <c r="E3" s="31"/>
      <c r="F3" s="31"/>
      <c r="J3" s="19" t="s">
        <v>94</v>
      </c>
      <c r="K3" s="18"/>
      <c r="L3" s="18"/>
      <c r="M3" s="18"/>
      <c r="N3" s="18"/>
      <c r="O3" s="18"/>
      <c r="R3" s="11" t="s">
        <v>123</v>
      </c>
      <c r="S3" s="18"/>
      <c r="T3" s="18"/>
      <c r="U3" s="18"/>
      <c r="V3" s="18"/>
      <c r="W3" s="18"/>
      <c r="X3" s="18"/>
    </row>
    <row r="4" spans="1:24" x14ac:dyDescent="0.3">
      <c r="A4" s="31"/>
      <c r="B4" s="31"/>
      <c r="C4" s="31"/>
      <c r="D4" s="31"/>
      <c r="E4" s="31"/>
      <c r="F4" s="31"/>
      <c r="J4" s="18"/>
      <c r="K4" s="18"/>
      <c r="L4" s="18"/>
      <c r="M4" s="18"/>
      <c r="N4" s="18"/>
      <c r="O4" s="18"/>
      <c r="R4" s="11" t="s">
        <v>14</v>
      </c>
      <c r="S4" s="18"/>
      <c r="T4" s="18"/>
      <c r="U4" s="18"/>
      <c r="V4" s="18"/>
      <c r="W4" s="18"/>
      <c r="X4" s="18"/>
    </row>
    <row r="5" spans="1:24" x14ac:dyDescent="0.3">
      <c r="A5" s="33" t="s">
        <v>119</v>
      </c>
      <c r="B5" s="31"/>
      <c r="C5" s="31"/>
      <c r="D5" s="31"/>
      <c r="E5" s="31"/>
      <c r="F5" s="31"/>
      <c r="J5" s="20" t="s">
        <v>98</v>
      </c>
      <c r="K5" s="18"/>
      <c r="L5" s="18"/>
      <c r="M5" s="18"/>
      <c r="N5" s="18"/>
      <c r="O5" s="18"/>
      <c r="R5" s="18"/>
      <c r="S5" s="18"/>
      <c r="T5" s="18"/>
      <c r="U5" s="18"/>
      <c r="V5" s="18"/>
      <c r="W5" s="18"/>
      <c r="X5" s="18"/>
    </row>
    <row r="6" spans="1:24" x14ac:dyDescent="0.3">
      <c r="A6" s="33" t="s">
        <v>120</v>
      </c>
      <c r="B6" s="31"/>
      <c r="C6" s="31"/>
      <c r="D6" s="31"/>
      <c r="E6" s="31"/>
      <c r="F6" s="31"/>
      <c r="J6" s="20" t="s">
        <v>99</v>
      </c>
      <c r="K6" s="18"/>
      <c r="L6" s="18"/>
      <c r="M6" s="18"/>
      <c r="N6" s="18"/>
      <c r="O6" s="18"/>
      <c r="R6" s="18"/>
      <c r="S6" s="18"/>
      <c r="T6" s="18"/>
      <c r="U6" s="18"/>
      <c r="V6" s="18"/>
      <c r="W6" s="18"/>
      <c r="X6" s="18"/>
    </row>
    <row r="7" spans="1:24" x14ac:dyDescent="0.3">
      <c r="A7" s="33" t="s">
        <v>121</v>
      </c>
      <c r="B7" s="31"/>
      <c r="C7" s="31"/>
      <c r="D7" s="31"/>
      <c r="E7" s="31"/>
      <c r="F7" s="31"/>
      <c r="J7" s="20" t="s">
        <v>122</v>
      </c>
      <c r="K7" s="18"/>
      <c r="L7" s="18"/>
      <c r="M7" s="18"/>
      <c r="N7" s="18"/>
      <c r="O7" s="18"/>
      <c r="R7" s="18"/>
      <c r="S7" s="18"/>
      <c r="T7" s="18"/>
      <c r="U7" s="18"/>
      <c r="V7" s="18"/>
      <c r="W7" s="18"/>
      <c r="X7" s="18"/>
    </row>
    <row r="8" spans="1:24" x14ac:dyDescent="0.3">
      <c r="A8" s="34"/>
      <c r="B8" s="31"/>
      <c r="C8" s="31"/>
      <c r="D8" s="31"/>
      <c r="E8" s="31"/>
      <c r="F8" s="31"/>
      <c r="J8" s="21"/>
      <c r="K8" s="18"/>
      <c r="L8" s="18"/>
      <c r="M8" s="18"/>
      <c r="N8" s="18"/>
      <c r="O8" s="18"/>
      <c r="R8" s="11" t="s">
        <v>69</v>
      </c>
      <c r="S8" s="18"/>
      <c r="T8" s="18"/>
      <c r="U8" s="18"/>
      <c r="V8" s="18"/>
      <c r="W8" s="18"/>
      <c r="X8" s="18"/>
    </row>
    <row r="9" spans="1:24" ht="15" thickBot="1" x14ac:dyDescent="0.35">
      <c r="A9" s="5" t="s">
        <v>6</v>
      </c>
      <c r="B9" s="5" t="s">
        <v>7</v>
      </c>
      <c r="C9" s="5" t="s">
        <v>8</v>
      </c>
      <c r="D9" s="5" t="s">
        <v>9</v>
      </c>
      <c r="E9" s="5" t="s">
        <v>10</v>
      </c>
      <c r="F9" s="5" t="s">
        <v>11</v>
      </c>
      <c r="J9" s="22" t="s">
        <v>6</v>
      </c>
      <c r="K9" s="22" t="s">
        <v>7</v>
      </c>
      <c r="L9" s="22" t="s">
        <v>8</v>
      </c>
      <c r="M9" s="22" t="s">
        <v>9</v>
      </c>
      <c r="N9" s="22" t="s">
        <v>10</v>
      </c>
      <c r="O9" s="22" t="s">
        <v>11</v>
      </c>
      <c r="R9" s="28" t="s">
        <v>15</v>
      </c>
      <c r="S9" s="28" t="s">
        <v>16</v>
      </c>
      <c r="T9" s="28" t="s">
        <v>0</v>
      </c>
      <c r="U9" s="28" t="s">
        <v>17</v>
      </c>
      <c r="V9" s="28" t="s">
        <v>1</v>
      </c>
      <c r="W9" s="28" t="s">
        <v>2</v>
      </c>
      <c r="X9" s="28" t="s">
        <v>3</v>
      </c>
    </row>
    <row r="10" spans="1:24" ht="15" thickBot="1" x14ac:dyDescent="0.35">
      <c r="A10" s="35"/>
      <c r="B10" s="35"/>
      <c r="C10" s="35" t="s">
        <v>12</v>
      </c>
      <c r="D10" s="35"/>
      <c r="E10" s="35"/>
      <c r="F10" s="35">
        <v>14.55</v>
      </c>
      <c r="J10" s="23"/>
      <c r="K10" s="23"/>
      <c r="L10" s="23" t="s">
        <v>12</v>
      </c>
      <c r="M10" s="23"/>
      <c r="N10" s="23"/>
      <c r="O10" s="23">
        <v>0</v>
      </c>
      <c r="R10" s="23">
        <v>5817</v>
      </c>
      <c r="S10" s="23" t="s">
        <v>70</v>
      </c>
      <c r="T10" s="23">
        <v>0</v>
      </c>
      <c r="U10" s="23">
        <v>50</v>
      </c>
      <c r="V10" s="23">
        <v>50</v>
      </c>
      <c r="W10" s="23">
        <v>50</v>
      </c>
      <c r="X10" s="23">
        <v>0</v>
      </c>
    </row>
    <row r="11" spans="1:24" ht="15" thickBot="1" x14ac:dyDescent="0.35">
      <c r="A11" s="35">
        <v>1331380</v>
      </c>
      <c r="B11" s="36">
        <v>45663</v>
      </c>
      <c r="C11" s="35" t="s">
        <v>39</v>
      </c>
      <c r="D11" s="35"/>
      <c r="E11" s="35">
        <v>50</v>
      </c>
      <c r="F11" s="35">
        <v>64.55</v>
      </c>
      <c r="J11" s="23"/>
      <c r="K11" s="23"/>
      <c r="L11" s="23"/>
      <c r="M11" s="27">
        <v>0</v>
      </c>
      <c r="N11" s="27">
        <v>0</v>
      </c>
      <c r="O11" s="27">
        <v>0</v>
      </c>
      <c r="R11" s="23">
        <v>5819</v>
      </c>
      <c r="S11" s="23" t="s">
        <v>71</v>
      </c>
      <c r="T11" s="23">
        <v>0</v>
      </c>
      <c r="U11" s="23">
        <v>50</v>
      </c>
      <c r="V11" s="23">
        <v>50</v>
      </c>
      <c r="W11" s="23">
        <v>50</v>
      </c>
      <c r="X11" s="23">
        <v>0</v>
      </c>
    </row>
    <row r="12" spans="1:24" ht="15" thickBot="1" x14ac:dyDescent="0.35">
      <c r="A12" s="35">
        <v>1331383</v>
      </c>
      <c r="B12" s="36">
        <v>45663</v>
      </c>
      <c r="C12" s="35" t="s">
        <v>40</v>
      </c>
      <c r="D12" s="35">
        <v>7.51</v>
      </c>
      <c r="E12" s="35"/>
      <c r="F12" s="35">
        <v>57.04</v>
      </c>
      <c r="R12" s="23">
        <v>5820</v>
      </c>
      <c r="S12" s="23" t="s">
        <v>72</v>
      </c>
      <c r="T12" s="23">
        <v>200</v>
      </c>
      <c r="U12" s="23">
        <v>50</v>
      </c>
      <c r="V12" s="23">
        <v>250</v>
      </c>
      <c r="W12" s="23">
        <v>0</v>
      </c>
      <c r="X12" s="23">
        <v>250</v>
      </c>
    </row>
    <row r="13" spans="1:24" ht="15" thickBot="1" x14ac:dyDescent="0.35">
      <c r="A13" s="35">
        <v>1331387</v>
      </c>
      <c r="B13" s="36">
        <v>45663</v>
      </c>
      <c r="C13" s="35" t="s">
        <v>41</v>
      </c>
      <c r="D13" s="35"/>
      <c r="E13" s="35">
        <v>50</v>
      </c>
      <c r="F13" s="35">
        <v>107.04</v>
      </c>
      <c r="R13" s="23">
        <v>5821</v>
      </c>
      <c r="S13" s="23" t="s">
        <v>73</v>
      </c>
      <c r="T13" s="23">
        <v>0</v>
      </c>
      <c r="U13" s="23">
        <v>50</v>
      </c>
      <c r="V13" s="23">
        <v>50</v>
      </c>
      <c r="W13" s="23">
        <v>0</v>
      </c>
      <c r="X13" s="23">
        <v>50</v>
      </c>
    </row>
    <row r="14" spans="1:24" ht="15" thickBot="1" x14ac:dyDescent="0.35">
      <c r="A14" s="35">
        <v>1331390</v>
      </c>
      <c r="B14" s="36">
        <v>45663</v>
      </c>
      <c r="C14" s="35" t="s">
        <v>42</v>
      </c>
      <c r="D14" s="35">
        <v>7.51</v>
      </c>
      <c r="E14" s="35"/>
      <c r="F14" s="35">
        <v>99.53</v>
      </c>
      <c r="R14" s="23">
        <v>5822</v>
      </c>
      <c r="S14" s="23" t="s">
        <v>74</v>
      </c>
      <c r="T14" s="23">
        <v>-50</v>
      </c>
      <c r="U14" s="23">
        <v>50</v>
      </c>
      <c r="V14" s="23">
        <v>0</v>
      </c>
      <c r="W14" s="23">
        <v>0</v>
      </c>
      <c r="X14" s="23">
        <v>0</v>
      </c>
    </row>
    <row r="15" spans="1:24" ht="15" thickBot="1" x14ac:dyDescent="0.35">
      <c r="A15" s="35">
        <v>1331394</v>
      </c>
      <c r="B15" s="36">
        <v>45663</v>
      </c>
      <c r="C15" s="35" t="s">
        <v>43</v>
      </c>
      <c r="D15" s="35"/>
      <c r="E15" s="35">
        <v>50</v>
      </c>
      <c r="F15" s="35">
        <v>149.53</v>
      </c>
      <c r="R15" s="23">
        <v>5823</v>
      </c>
      <c r="S15" s="23" t="s">
        <v>75</v>
      </c>
      <c r="T15" s="23">
        <v>-50</v>
      </c>
      <c r="U15" s="23">
        <v>50</v>
      </c>
      <c r="V15" s="23">
        <v>0</v>
      </c>
      <c r="W15" s="23">
        <v>0</v>
      </c>
      <c r="X15" s="23">
        <v>0</v>
      </c>
    </row>
    <row r="16" spans="1:24" ht="15" thickBot="1" x14ac:dyDescent="0.35">
      <c r="A16" s="35">
        <v>1331397</v>
      </c>
      <c r="B16" s="36">
        <v>45663</v>
      </c>
      <c r="C16" s="35" t="s">
        <v>44</v>
      </c>
      <c r="D16" s="35">
        <v>7.51</v>
      </c>
      <c r="E16" s="35"/>
      <c r="F16" s="35">
        <v>142.02000000000001</v>
      </c>
      <c r="R16" s="23">
        <v>5824</v>
      </c>
      <c r="S16" s="23" t="s">
        <v>76</v>
      </c>
      <c r="T16" s="23">
        <v>0</v>
      </c>
      <c r="U16" s="23">
        <v>50</v>
      </c>
      <c r="V16" s="23">
        <v>50</v>
      </c>
      <c r="W16" s="23">
        <v>50</v>
      </c>
      <c r="X16" s="23">
        <v>0</v>
      </c>
    </row>
    <row r="17" spans="1:24" ht="15" thickBot="1" x14ac:dyDescent="0.35">
      <c r="A17" s="35">
        <v>1331401</v>
      </c>
      <c r="B17" s="36">
        <v>45663</v>
      </c>
      <c r="C17" s="35" t="s">
        <v>49</v>
      </c>
      <c r="D17" s="35"/>
      <c r="E17" s="35">
        <v>50</v>
      </c>
      <c r="F17" s="35">
        <v>192.02</v>
      </c>
      <c r="R17" s="25">
        <v>5825</v>
      </c>
      <c r="S17" s="25" t="s">
        <v>77</v>
      </c>
      <c r="T17" s="25">
        <v>50</v>
      </c>
      <c r="U17" s="25">
        <v>50</v>
      </c>
      <c r="V17" s="25">
        <v>100</v>
      </c>
      <c r="W17" s="25">
        <v>0</v>
      </c>
      <c r="X17" s="25">
        <v>100</v>
      </c>
    </row>
    <row r="18" spans="1:24" ht="15" thickBot="1" x14ac:dyDescent="0.35">
      <c r="A18" s="35">
        <v>1331404</v>
      </c>
      <c r="B18" s="36">
        <v>45663</v>
      </c>
      <c r="C18" s="35" t="s">
        <v>50</v>
      </c>
      <c r="D18" s="35">
        <v>7.51</v>
      </c>
      <c r="E18" s="35"/>
      <c r="F18" s="35">
        <v>184.51</v>
      </c>
      <c r="R18" s="23">
        <v>5826</v>
      </c>
      <c r="S18" s="23" t="s">
        <v>78</v>
      </c>
      <c r="T18" s="23">
        <v>50</v>
      </c>
      <c r="U18" s="23">
        <v>50</v>
      </c>
      <c r="V18" s="23">
        <v>100</v>
      </c>
      <c r="W18" s="23">
        <v>50</v>
      </c>
      <c r="X18" s="23">
        <v>50</v>
      </c>
    </row>
    <row r="19" spans="1:24" ht="15" thickBot="1" x14ac:dyDescent="0.35">
      <c r="A19" s="35">
        <v>1331408</v>
      </c>
      <c r="B19" s="36">
        <v>45663</v>
      </c>
      <c r="C19" s="35" t="s">
        <v>47</v>
      </c>
      <c r="D19" s="35"/>
      <c r="E19" s="35">
        <v>50</v>
      </c>
      <c r="F19" s="35">
        <v>234.51</v>
      </c>
      <c r="R19" s="23">
        <v>5827</v>
      </c>
      <c r="S19" s="23" t="s">
        <v>79</v>
      </c>
      <c r="T19" s="23">
        <v>0</v>
      </c>
      <c r="U19" s="23">
        <v>50</v>
      </c>
      <c r="V19" s="23">
        <v>50</v>
      </c>
      <c r="W19" s="23">
        <v>50</v>
      </c>
      <c r="X19" s="23">
        <v>0</v>
      </c>
    </row>
    <row r="20" spans="1:24" ht="15" thickBot="1" x14ac:dyDescent="0.35">
      <c r="A20" s="35">
        <v>1331411</v>
      </c>
      <c r="B20" s="36">
        <v>45663</v>
      </c>
      <c r="C20" s="35" t="s">
        <v>48</v>
      </c>
      <c r="D20" s="35">
        <v>7.51</v>
      </c>
      <c r="E20" s="35"/>
      <c r="F20" s="35">
        <v>227</v>
      </c>
      <c r="R20" s="23">
        <v>5828</v>
      </c>
      <c r="S20" s="23" t="s">
        <v>80</v>
      </c>
      <c r="T20" s="23">
        <v>100</v>
      </c>
      <c r="U20" s="23">
        <v>50</v>
      </c>
      <c r="V20" s="23">
        <v>150</v>
      </c>
      <c r="W20" s="23">
        <v>180</v>
      </c>
      <c r="X20" s="23">
        <v>-30</v>
      </c>
    </row>
    <row r="21" spans="1:24" ht="15" thickBot="1" x14ac:dyDescent="0.35">
      <c r="A21" s="35">
        <v>1331415</v>
      </c>
      <c r="B21" s="36">
        <v>45663</v>
      </c>
      <c r="C21" s="35" t="s">
        <v>45</v>
      </c>
      <c r="D21" s="35"/>
      <c r="E21" s="35">
        <v>100</v>
      </c>
      <c r="F21" s="35">
        <v>327</v>
      </c>
      <c r="R21" s="23">
        <v>5829</v>
      </c>
      <c r="S21" s="23" t="s">
        <v>81</v>
      </c>
      <c r="T21" s="23">
        <v>0</v>
      </c>
      <c r="U21" s="23">
        <v>50</v>
      </c>
      <c r="V21" s="23">
        <v>50</v>
      </c>
      <c r="W21" s="23">
        <v>50</v>
      </c>
      <c r="X21" s="23">
        <v>0</v>
      </c>
    </row>
    <row r="22" spans="1:24" ht="15" thickBot="1" x14ac:dyDescent="0.35">
      <c r="A22" s="35">
        <v>1331418</v>
      </c>
      <c r="B22" s="36">
        <v>45663</v>
      </c>
      <c r="C22" s="35" t="s">
        <v>46</v>
      </c>
      <c r="D22" s="35">
        <v>15.01</v>
      </c>
      <c r="E22" s="35"/>
      <c r="F22" s="35">
        <v>311.99</v>
      </c>
      <c r="R22" s="23">
        <v>5830</v>
      </c>
      <c r="S22" s="23" t="s">
        <v>82</v>
      </c>
      <c r="T22" s="23">
        <v>-50</v>
      </c>
      <c r="U22" s="23">
        <v>50</v>
      </c>
      <c r="V22" s="23">
        <v>0</v>
      </c>
      <c r="W22" s="23">
        <v>100</v>
      </c>
      <c r="X22" s="23">
        <v>-100</v>
      </c>
    </row>
    <row r="23" spans="1:24" ht="15" thickBot="1" x14ac:dyDescent="0.35">
      <c r="A23" s="35">
        <v>1331422</v>
      </c>
      <c r="B23" s="36">
        <v>45663</v>
      </c>
      <c r="C23" s="35" t="s">
        <v>35</v>
      </c>
      <c r="D23" s="35"/>
      <c r="E23" s="35">
        <v>50</v>
      </c>
      <c r="F23" s="35">
        <v>361.99</v>
      </c>
      <c r="R23" s="23">
        <v>5831</v>
      </c>
      <c r="S23" s="23" t="s">
        <v>83</v>
      </c>
      <c r="T23" s="23">
        <v>0</v>
      </c>
      <c r="U23" s="23">
        <v>50</v>
      </c>
      <c r="V23" s="23">
        <v>50</v>
      </c>
      <c r="W23" s="23">
        <v>50</v>
      </c>
      <c r="X23" s="23">
        <v>0</v>
      </c>
    </row>
    <row r="24" spans="1:24" ht="15" thickBot="1" x14ac:dyDescent="0.35">
      <c r="A24" s="35">
        <v>1331425</v>
      </c>
      <c r="B24" s="36">
        <v>45663</v>
      </c>
      <c r="C24" s="35" t="s">
        <v>36</v>
      </c>
      <c r="D24" s="35">
        <v>7.51</v>
      </c>
      <c r="E24" s="35"/>
      <c r="F24" s="35">
        <v>354.48</v>
      </c>
      <c r="R24" s="23">
        <v>5832</v>
      </c>
      <c r="S24" s="23" t="s">
        <v>84</v>
      </c>
      <c r="T24" s="23">
        <v>0</v>
      </c>
      <c r="U24" s="23">
        <v>50</v>
      </c>
      <c r="V24" s="23">
        <v>50</v>
      </c>
      <c r="W24" s="23">
        <v>50</v>
      </c>
      <c r="X24" s="23">
        <v>0</v>
      </c>
    </row>
    <row r="25" spans="1:24" ht="15" thickBot="1" x14ac:dyDescent="0.35">
      <c r="A25" s="35">
        <v>1331429</v>
      </c>
      <c r="B25" s="36">
        <v>45663</v>
      </c>
      <c r="C25" s="35" t="s">
        <v>64</v>
      </c>
      <c r="D25" s="35"/>
      <c r="E25" s="35">
        <v>50</v>
      </c>
      <c r="F25" s="35">
        <v>404.48</v>
      </c>
      <c r="R25" s="23">
        <v>5833</v>
      </c>
      <c r="S25" s="23" t="s">
        <v>85</v>
      </c>
      <c r="T25" s="23">
        <v>0</v>
      </c>
      <c r="U25" s="23">
        <v>50</v>
      </c>
      <c r="V25" s="23">
        <v>50</v>
      </c>
      <c r="W25" s="23">
        <v>50</v>
      </c>
      <c r="X25" s="23">
        <v>0</v>
      </c>
    </row>
    <row r="26" spans="1:24" ht="15" thickBot="1" x14ac:dyDescent="0.35">
      <c r="A26" s="35">
        <v>1331432</v>
      </c>
      <c r="B26" s="36">
        <v>45663</v>
      </c>
      <c r="C26" s="35" t="s">
        <v>65</v>
      </c>
      <c r="D26" s="35">
        <v>7.51</v>
      </c>
      <c r="E26" s="35"/>
      <c r="F26" s="35">
        <v>396.97</v>
      </c>
      <c r="R26" s="23">
        <v>5834</v>
      </c>
      <c r="S26" s="23" t="s">
        <v>86</v>
      </c>
      <c r="T26" s="23">
        <v>-50</v>
      </c>
      <c r="U26" s="23">
        <v>50</v>
      </c>
      <c r="V26" s="23">
        <v>0</v>
      </c>
      <c r="W26" s="23">
        <v>0</v>
      </c>
      <c r="X26" s="23">
        <v>0</v>
      </c>
    </row>
    <row r="27" spans="1:24" ht="15" thickBot="1" x14ac:dyDescent="0.35">
      <c r="A27" s="35">
        <v>1331436</v>
      </c>
      <c r="B27" s="36">
        <v>45663</v>
      </c>
      <c r="C27" s="35" t="s">
        <v>25</v>
      </c>
      <c r="D27" s="35"/>
      <c r="E27" s="35">
        <v>50</v>
      </c>
      <c r="F27" s="35">
        <v>446.97</v>
      </c>
      <c r="R27" s="23"/>
      <c r="S27" s="23"/>
      <c r="T27" s="29">
        <v>200</v>
      </c>
      <c r="U27" s="29">
        <v>850</v>
      </c>
      <c r="V27" s="29">
        <v>1050</v>
      </c>
      <c r="W27" s="29">
        <v>730</v>
      </c>
      <c r="X27" s="29">
        <v>320</v>
      </c>
    </row>
    <row r="28" spans="1:24" ht="15" thickBot="1" x14ac:dyDescent="0.35">
      <c r="A28" s="35">
        <v>1331439</v>
      </c>
      <c r="B28" s="36">
        <v>45663</v>
      </c>
      <c r="C28" s="35" t="s">
        <v>26</v>
      </c>
      <c r="D28" s="35">
        <v>7.51</v>
      </c>
      <c r="E28" s="35"/>
      <c r="F28" s="35">
        <v>439.46</v>
      </c>
      <c r="X28">
        <f>X20+X22</f>
        <v>-130</v>
      </c>
    </row>
    <row r="29" spans="1:24" ht="15" thickBot="1" x14ac:dyDescent="0.35">
      <c r="A29" s="35">
        <v>1331443</v>
      </c>
      <c r="B29" s="36">
        <v>45663</v>
      </c>
      <c r="C29" s="35" t="s">
        <v>51</v>
      </c>
      <c r="D29" s="35"/>
      <c r="E29" s="35">
        <v>50</v>
      </c>
      <c r="F29" s="35">
        <v>489.46</v>
      </c>
      <c r="X29">
        <f>X28*-1</f>
        <v>130</v>
      </c>
    </row>
    <row r="30" spans="1:24" ht="15" thickBot="1" x14ac:dyDescent="0.35">
      <c r="A30" s="35">
        <v>1331446</v>
      </c>
      <c r="B30" s="36">
        <v>45663</v>
      </c>
      <c r="C30" s="35" t="s">
        <v>52</v>
      </c>
      <c r="D30" s="35">
        <v>7.51</v>
      </c>
      <c r="E30" s="35"/>
      <c r="F30" s="35">
        <v>481.95</v>
      </c>
      <c r="X30">
        <f>X29+X27</f>
        <v>450</v>
      </c>
    </row>
    <row r="31" spans="1:24" ht="15" thickBot="1" x14ac:dyDescent="0.35">
      <c r="A31" s="35">
        <v>1333177</v>
      </c>
      <c r="B31" s="36">
        <v>45666</v>
      </c>
      <c r="C31" s="35" t="s">
        <v>112</v>
      </c>
      <c r="D31" s="35"/>
      <c r="E31" s="35">
        <v>50</v>
      </c>
      <c r="F31" s="35">
        <v>531.95000000000005</v>
      </c>
    </row>
    <row r="32" spans="1:24" ht="15" thickBot="1" x14ac:dyDescent="0.35">
      <c r="A32" s="35">
        <v>1333180</v>
      </c>
      <c r="B32" s="36">
        <v>45666</v>
      </c>
      <c r="C32" s="35" t="s">
        <v>113</v>
      </c>
      <c r="D32" s="35">
        <v>7.51</v>
      </c>
      <c r="E32" s="35"/>
      <c r="F32" s="35">
        <v>524.44000000000005</v>
      </c>
    </row>
    <row r="33" spans="1:6" ht="15" thickBot="1" x14ac:dyDescent="0.35">
      <c r="A33" s="35">
        <v>1338666</v>
      </c>
      <c r="B33" s="36">
        <v>45678</v>
      </c>
      <c r="C33" s="35" t="s">
        <v>114</v>
      </c>
      <c r="D33" s="35">
        <v>50</v>
      </c>
      <c r="E33" s="35"/>
      <c r="F33" s="35">
        <v>474.44</v>
      </c>
    </row>
    <row r="34" spans="1:6" ht="15" thickBot="1" x14ac:dyDescent="0.35">
      <c r="A34" s="35">
        <v>1340074</v>
      </c>
      <c r="B34" s="36">
        <v>45678</v>
      </c>
      <c r="C34" s="35" t="s">
        <v>41</v>
      </c>
      <c r="D34" s="35"/>
      <c r="E34" s="35">
        <v>50</v>
      </c>
      <c r="F34" s="35">
        <v>524.44000000000005</v>
      </c>
    </row>
    <row r="35" spans="1:6" ht="15" thickBot="1" x14ac:dyDescent="0.35">
      <c r="A35" s="35">
        <v>1340077</v>
      </c>
      <c r="B35" s="36">
        <v>45678</v>
      </c>
      <c r="C35" s="35" t="s">
        <v>42</v>
      </c>
      <c r="D35" s="35">
        <v>7.51</v>
      </c>
      <c r="E35" s="35"/>
      <c r="F35" s="35">
        <v>516.92999999999995</v>
      </c>
    </row>
    <row r="36" spans="1:6" ht="15" thickBot="1" x14ac:dyDescent="0.35">
      <c r="A36" s="35">
        <v>1339869</v>
      </c>
      <c r="B36" s="36">
        <v>45681</v>
      </c>
      <c r="C36" s="35" t="s">
        <v>115</v>
      </c>
      <c r="D36" s="35">
        <v>80</v>
      </c>
      <c r="E36" s="35"/>
      <c r="F36" s="35">
        <v>436.93</v>
      </c>
    </row>
    <row r="37" spans="1:6" ht="15" thickBot="1" x14ac:dyDescent="0.35">
      <c r="A37" s="35">
        <v>1340067</v>
      </c>
      <c r="B37" s="36">
        <v>45681</v>
      </c>
      <c r="C37" s="35" t="s">
        <v>41</v>
      </c>
      <c r="D37" s="35"/>
      <c r="E37" s="35">
        <v>80</v>
      </c>
      <c r="F37" s="35">
        <v>516.92999999999995</v>
      </c>
    </row>
    <row r="38" spans="1:6" ht="15" thickBot="1" x14ac:dyDescent="0.35">
      <c r="A38" s="35">
        <v>1340070</v>
      </c>
      <c r="B38" s="36">
        <v>45681</v>
      </c>
      <c r="C38" s="35" t="s">
        <v>42</v>
      </c>
      <c r="D38" s="35">
        <v>12.01</v>
      </c>
      <c r="E38" s="35"/>
      <c r="F38" s="35">
        <v>504.92</v>
      </c>
    </row>
    <row r="39" spans="1:6" ht="15" thickBot="1" x14ac:dyDescent="0.35">
      <c r="A39" s="35">
        <v>1340738</v>
      </c>
      <c r="B39" s="36">
        <v>45688</v>
      </c>
      <c r="C39" s="35" t="s">
        <v>116</v>
      </c>
      <c r="D39" s="35">
        <v>34.11</v>
      </c>
      <c r="E39" s="35"/>
      <c r="F39" s="35">
        <v>470.81</v>
      </c>
    </row>
    <row r="40" spans="1:6" ht="15" thickBot="1" x14ac:dyDescent="0.35">
      <c r="A40" s="35">
        <v>1343909</v>
      </c>
      <c r="B40" s="36">
        <v>45688</v>
      </c>
      <c r="C40" s="35" t="s">
        <v>59</v>
      </c>
      <c r="D40" s="35">
        <v>456</v>
      </c>
      <c r="E40" s="35"/>
      <c r="F40" s="35">
        <v>14.81</v>
      </c>
    </row>
    <row r="41" spans="1:6" ht="15" thickBot="1" x14ac:dyDescent="0.35">
      <c r="A41" s="35">
        <v>1344326</v>
      </c>
      <c r="B41" s="36">
        <v>45688</v>
      </c>
      <c r="C41" s="35" t="s">
        <v>117</v>
      </c>
      <c r="D41" s="35">
        <v>10</v>
      </c>
      <c r="E41" s="35"/>
      <c r="F41" s="35">
        <v>4.8099999999999996</v>
      </c>
    </row>
    <row r="42" spans="1:6" x14ac:dyDescent="0.3">
      <c r="A42" s="35"/>
      <c r="B42" s="35"/>
      <c r="C42" s="35"/>
      <c r="D42" s="37">
        <v>739.74</v>
      </c>
      <c r="E42" s="37">
        <v>730</v>
      </c>
      <c r="F42" s="37">
        <v>4.8099999999999996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8C0F8-28FA-49B3-8430-595E2CFFAE05}">
  <sheetPr codeName="Sheet2"/>
  <dimension ref="A1:X30"/>
  <sheetViews>
    <sheetView topLeftCell="E7" workbookViewId="0">
      <selection activeCell="AA24" sqref="AA24"/>
    </sheetView>
  </sheetViews>
  <sheetFormatPr defaultRowHeight="14.4" x14ac:dyDescent="0.3"/>
  <cols>
    <col min="1" max="1" width="9" bestFit="1" customWidth="1"/>
    <col min="2" max="2" width="11.44140625" bestFit="1" customWidth="1"/>
    <col min="3" max="3" width="34.109375" customWidth="1"/>
    <col min="4" max="6" width="9" bestFit="1" customWidth="1"/>
  </cols>
  <sheetData>
    <row r="1" spans="1:24" x14ac:dyDescent="0.3">
      <c r="A1" s="17" t="s">
        <v>4</v>
      </c>
      <c r="B1" s="18"/>
      <c r="C1" s="18"/>
      <c r="D1" s="18"/>
      <c r="E1" s="18"/>
      <c r="F1" s="18"/>
      <c r="J1" s="17" t="s">
        <v>4</v>
      </c>
      <c r="K1" s="18"/>
      <c r="L1" s="18"/>
      <c r="M1" s="18"/>
      <c r="N1" s="18"/>
      <c r="O1" s="18"/>
      <c r="R1" s="17" t="s">
        <v>13</v>
      </c>
      <c r="S1" s="18"/>
      <c r="T1" s="18"/>
      <c r="U1" s="18"/>
      <c r="V1" s="18"/>
      <c r="W1" s="18"/>
      <c r="X1" s="18"/>
    </row>
    <row r="2" spans="1:24" x14ac:dyDescent="0.3">
      <c r="A2" s="18"/>
      <c r="B2" s="18"/>
      <c r="C2" s="18"/>
      <c r="D2" s="18"/>
      <c r="E2" s="18"/>
      <c r="F2" s="18"/>
      <c r="J2" s="18"/>
      <c r="K2" s="18"/>
      <c r="L2" s="18"/>
      <c r="M2" s="18"/>
      <c r="N2" s="18"/>
      <c r="O2" s="18"/>
      <c r="R2" s="11" t="s">
        <v>67</v>
      </c>
      <c r="S2" s="18"/>
      <c r="T2" s="18"/>
      <c r="U2" s="18"/>
      <c r="V2" s="18"/>
      <c r="W2" s="18"/>
      <c r="X2" s="18"/>
    </row>
    <row r="3" spans="1:24" x14ac:dyDescent="0.3">
      <c r="A3" s="19" t="s">
        <v>94</v>
      </c>
      <c r="B3" s="18"/>
      <c r="C3" s="18"/>
      <c r="D3" s="18"/>
      <c r="E3" s="18"/>
      <c r="F3" s="18"/>
      <c r="J3" s="19" t="s">
        <v>94</v>
      </c>
      <c r="K3" s="18"/>
      <c r="L3" s="18"/>
      <c r="M3" s="18"/>
      <c r="N3" s="18"/>
      <c r="O3" s="18"/>
      <c r="R3" s="11" t="s">
        <v>111</v>
      </c>
      <c r="S3" s="18"/>
      <c r="T3" s="18"/>
      <c r="U3" s="18"/>
      <c r="V3" s="18"/>
      <c r="W3" s="18"/>
      <c r="X3" s="18"/>
    </row>
    <row r="4" spans="1:24" x14ac:dyDescent="0.3">
      <c r="A4" s="18"/>
      <c r="B4" s="18"/>
      <c r="C4" s="18"/>
      <c r="D4" s="18"/>
      <c r="E4" s="18"/>
      <c r="F4" s="18"/>
      <c r="J4" s="18"/>
      <c r="K4" s="18"/>
      <c r="L4" s="18"/>
      <c r="M4" s="18"/>
      <c r="N4" s="18"/>
      <c r="O4" s="18"/>
      <c r="R4" s="11" t="s">
        <v>14</v>
      </c>
      <c r="S4" s="18"/>
      <c r="T4" s="18"/>
      <c r="U4" s="18"/>
      <c r="V4" s="18"/>
      <c r="W4" s="18"/>
      <c r="X4" s="18"/>
    </row>
    <row r="5" spans="1:24" x14ac:dyDescent="0.3">
      <c r="A5" s="20" t="s">
        <v>95</v>
      </c>
      <c r="B5" s="18"/>
      <c r="C5" s="18"/>
      <c r="D5" s="18"/>
      <c r="E5" s="18"/>
      <c r="F5" s="18"/>
      <c r="J5" s="20" t="s">
        <v>98</v>
      </c>
      <c r="K5" s="18"/>
      <c r="L5" s="18"/>
      <c r="M5" s="18"/>
      <c r="N5" s="18"/>
      <c r="O5" s="18"/>
      <c r="R5" s="18"/>
      <c r="S5" s="18"/>
      <c r="T5" s="18"/>
      <c r="U5" s="18"/>
      <c r="V5" s="18"/>
      <c r="W5" s="18"/>
      <c r="X5" s="18"/>
    </row>
    <row r="6" spans="1:24" x14ac:dyDescent="0.3">
      <c r="A6" s="20" t="s">
        <v>96</v>
      </c>
      <c r="B6" s="18"/>
      <c r="C6" s="18"/>
      <c r="D6" s="18"/>
      <c r="E6" s="18"/>
      <c r="F6" s="18"/>
      <c r="J6" s="20" t="s">
        <v>99</v>
      </c>
      <c r="K6" s="18"/>
      <c r="L6" s="18"/>
      <c r="M6" s="18"/>
      <c r="N6" s="18"/>
      <c r="O6" s="18"/>
      <c r="R6" s="18"/>
      <c r="S6" s="18"/>
      <c r="T6" s="18"/>
      <c r="U6" s="18"/>
      <c r="V6" s="18"/>
      <c r="W6" s="18"/>
      <c r="X6" s="18"/>
    </row>
    <row r="7" spans="1:24" x14ac:dyDescent="0.3">
      <c r="A7" s="20" t="s">
        <v>110</v>
      </c>
      <c r="B7" s="18"/>
      <c r="C7" s="18"/>
      <c r="D7" s="18"/>
      <c r="E7" s="18"/>
      <c r="F7" s="18"/>
      <c r="J7" s="20" t="s">
        <v>110</v>
      </c>
      <c r="K7" s="18"/>
      <c r="L7" s="18"/>
      <c r="M7" s="18"/>
      <c r="N7" s="18"/>
      <c r="O7" s="18"/>
      <c r="R7" s="18"/>
      <c r="S7" s="18"/>
      <c r="T7" s="18"/>
      <c r="U7" s="18"/>
      <c r="V7" s="18"/>
      <c r="W7" s="18"/>
      <c r="X7" s="18"/>
    </row>
    <row r="8" spans="1:24" x14ac:dyDescent="0.3">
      <c r="A8" s="21"/>
      <c r="B8" s="18"/>
      <c r="C8" s="18"/>
      <c r="D8" s="18"/>
      <c r="E8" s="18"/>
      <c r="F8" s="18"/>
      <c r="J8" s="21"/>
      <c r="K8" s="18"/>
      <c r="L8" s="18"/>
      <c r="M8" s="18"/>
      <c r="N8" s="18"/>
      <c r="O8" s="18"/>
      <c r="R8" s="11" t="s">
        <v>69</v>
      </c>
      <c r="S8" s="18"/>
      <c r="T8" s="18"/>
      <c r="U8" s="18"/>
      <c r="V8" s="18"/>
      <c r="W8" s="18"/>
      <c r="X8" s="18"/>
    </row>
    <row r="9" spans="1:24" ht="15" thickBot="1" x14ac:dyDescent="0.35">
      <c r="A9" s="22" t="s">
        <v>6</v>
      </c>
      <c r="B9" s="22" t="s">
        <v>7</v>
      </c>
      <c r="C9" s="22" t="s">
        <v>8</v>
      </c>
      <c r="D9" s="22" t="s">
        <v>9</v>
      </c>
      <c r="E9" s="22" t="s">
        <v>10</v>
      </c>
      <c r="F9" s="22" t="s">
        <v>11</v>
      </c>
      <c r="J9" s="22" t="s">
        <v>6</v>
      </c>
      <c r="K9" s="22" t="s">
        <v>7</v>
      </c>
      <c r="L9" s="22" t="s">
        <v>8</v>
      </c>
      <c r="M9" s="22" t="s">
        <v>9</v>
      </c>
      <c r="N9" s="22" t="s">
        <v>10</v>
      </c>
      <c r="O9" s="22" t="s">
        <v>11</v>
      </c>
      <c r="R9" s="28" t="s">
        <v>15</v>
      </c>
      <c r="S9" s="28" t="s">
        <v>16</v>
      </c>
      <c r="T9" s="28" t="s">
        <v>0</v>
      </c>
      <c r="U9" s="28" t="s">
        <v>17</v>
      </c>
      <c r="V9" s="28" t="s">
        <v>1</v>
      </c>
      <c r="W9" s="28" t="s">
        <v>2</v>
      </c>
      <c r="X9" s="28" t="s">
        <v>3</v>
      </c>
    </row>
    <row r="10" spans="1:24" ht="15" thickBot="1" x14ac:dyDescent="0.35">
      <c r="A10" s="23"/>
      <c r="B10" s="23"/>
      <c r="C10" s="23" t="s">
        <v>12</v>
      </c>
      <c r="D10" s="23"/>
      <c r="E10" s="23"/>
      <c r="F10" s="23">
        <v>57.9</v>
      </c>
      <c r="J10" s="23"/>
      <c r="K10" s="23"/>
      <c r="L10" s="23" t="s">
        <v>12</v>
      </c>
      <c r="M10" s="23"/>
      <c r="N10" s="23"/>
      <c r="O10" s="23">
        <v>0</v>
      </c>
      <c r="R10" s="23">
        <v>5817</v>
      </c>
      <c r="S10" s="23" t="s">
        <v>70</v>
      </c>
      <c r="T10" s="23">
        <v>-50</v>
      </c>
      <c r="U10" s="23">
        <v>50</v>
      </c>
      <c r="V10" s="23">
        <v>0</v>
      </c>
      <c r="W10" s="23">
        <v>0</v>
      </c>
      <c r="X10" s="23">
        <v>0</v>
      </c>
    </row>
    <row r="11" spans="1:24" ht="15" thickBot="1" x14ac:dyDescent="0.35">
      <c r="A11" s="23">
        <v>1282723</v>
      </c>
      <c r="B11" s="24">
        <v>45567</v>
      </c>
      <c r="C11" s="23" t="s">
        <v>51</v>
      </c>
      <c r="D11" s="23"/>
      <c r="E11" s="23">
        <v>50</v>
      </c>
      <c r="F11" s="23">
        <v>107.9</v>
      </c>
      <c r="J11" s="23"/>
      <c r="K11" s="23"/>
      <c r="L11" s="23"/>
      <c r="M11" s="27">
        <v>0</v>
      </c>
      <c r="N11" s="27">
        <v>0</v>
      </c>
      <c r="O11" s="27">
        <v>0</v>
      </c>
      <c r="R11" s="23">
        <v>5819</v>
      </c>
      <c r="S11" s="23" t="s">
        <v>71</v>
      </c>
      <c r="T11" s="23">
        <v>0</v>
      </c>
      <c r="U11" s="23">
        <v>50</v>
      </c>
      <c r="V11" s="23">
        <v>50</v>
      </c>
      <c r="W11" s="23">
        <v>50</v>
      </c>
      <c r="X11" s="23">
        <v>0</v>
      </c>
    </row>
    <row r="12" spans="1:24" ht="15" thickBot="1" x14ac:dyDescent="0.35">
      <c r="A12" s="23">
        <v>1282726</v>
      </c>
      <c r="B12" s="24">
        <v>45567</v>
      </c>
      <c r="C12" s="23" t="s">
        <v>52</v>
      </c>
      <c r="D12" s="23">
        <v>7.51</v>
      </c>
      <c r="E12" s="23"/>
      <c r="F12" s="23">
        <v>100.39</v>
      </c>
      <c r="R12" s="23">
        <v>5820</v>
      </c>
      <c r="S12" s="23" t="s">
        <v>72</v>
      </c>
      <c r="T12" s="23">
        <v>50</v>
      </c>
      <c r="U12" s="23">
        <v>50</v>
      </c>
      <c r="V12" s="23">
        <v>100</v>
      </c>
      <c r="W12" s="23">
        <v>0</v>
      </c>
      <c r="X12" s="23">
        <v>100</v>
      </c>
    </row>
    <row r="13" spans="1:24" ht="15" thickBot="1" x14ac:dyDescent="0.35">
      <c r="A13" s="23">
        <v>1282730</v>
      </c>
      <c r="B13" s="24">
        <v>45567</v>
      </c>
      <c r="C13" s="23" t="s">
        <v>53</v>
      </c>
      <c r="D13" s="23"/>
      <c r="E13" s="23">
        <v>50</v>
      </c>
      <c r="F13" s="23">
        <v>150.38999999999999</v>
      </c>
      <c r="R13" s="23">
        <v>5821</v>
      </c>
      <c r="S13" s="23" t="s">
        <v>73</v>
      </c>
      <c r="T13" s="23">
        <v>0</v>
      </c>
      <c r="U13" s="23">
        <v>50</v>
      </c>
      <c r="V13" s="23">
        <v>50</v>
      </c>
      <c r="W13" s="23">
        <v>0</v>
      </c>
      <c r="X13" s="23">
        <v>50</v>
      </c>
    </row>
    <row r="14" spans="1:24" ht="15" thickBot="1" x14ac:dyDescent="0.35">
      <c r="A14" s="23">
        <v>1282733</v>
      </c>
      <c r="B14" s="24">
        <v>45567</v>
      </c>
      <c r="C14" s="23" t="s">
        <v>54</v>
      </c>
      <c r="D14" s="23">
        <v>7.51</v>
      </c>
      <c r="E14" s="23"/>
      <c r="F14" s="23">
        <v>142.88</v>
      </c>
      <c r="R14" s="23">
        <v>5822</v>
      </c>
      <c r="S14" s="23" t="s">
        <v>74</v>
      </c>
      <c r="T14" s="23">
        <v>0</v>
      </c>
      <c r="U14" s="23">
        <v>50</v>
      </c>
      <c r="V14" s="23">
        <v>50</v>
      </c>
      <c r="W14" s="23">
        <v>0</v>
      </c>
      <c r="X14" s="23">
        <v>50</v>
      </c>
    </row>
    <row r="15" spans="1:24" ht="15" thickBot="1" x14ac:dyDescent="0.35">
      <c r="A15" s="23">
        <v>1282737</v>
      </c>
      <c r="B15" s="24">
        <v>45567</v>
      </c>
      <c r="C15" s="23" t="s">
        <v>41</v>
      </c>
      <c r="D15" s="23"/>
      <c r="E15" s="23">
        <v>50</v>
      </c>
      <c r="F15" s="23">
        <v>192.88</v>
      </c>
      <c r="R15" s="23">
        <v>5823</v>
      </c>
      <c r="S15" s="23" t="s">
        <v>75</v>
      </c>
      <c r="T15" s="23">
        <v>0</v>
      </c>
      <c r="U15" s="23">
        <v>50</v>
      </c>
      <c r="V15" s="23">
        <v>50</v>
      </c>
      <c r="W15" s="23">
        <v>0</v>
      </c>
      <c r="X15" s="23">
        <v>50</v>
      </c>
    </row>
    <row r="16" spans="1:24" ht="15" thickBot="1" x14ac:dyDescent="0.35">
      <c r="A16" s="23">
        <v>1282740</v>
      </c>
      <c r="B16" s="24">
        <v>45567</v>
      </c>
      <c r="C16" s="23" t="s">
        <v>42</v>
      </c>
      <c r="D16" s="23">
        <v>7.51</v>
      </c>
      <c r="E16" s="23"/>
      <c r="F16" s="23">
        <v>185.37</v>
      </c>
      <c r="R16" s="23">
        <v>5824</v>
      </c>
      <c r="S16" s="23" t="s">
        <v>76</v>
      </c>
      <c r="T16" s="23">
        <v>0</v>
      </c>
      <c r="U16" s="23">
        <v>50</v>
      </c>
      <c r="V16" s="23">
        <v>50</v>
      </c>
      <c r="W16" s="23">
        <v>50</v>
      </c>
      <c r="X16" s="23">
        <v>0</v>
      </c>
    </row>
    <row r="17" spans="1:24" ht="15" thickBot="1" x14ac:dyDescent="0.35">
      <c r="A17" s="23">
        <v>1282744</v>
      </c>
      <c r="B17" s="24">
        <v>45567</v>
      </c>
      <c r="C17" s="23" t="s">
        <v>35</v>
      </c>
      <c r="D17" s="23"/>
      <c r="E17" s="23">
        <v>50</v>
      </c>
      <c r="F17" s="23">
        <v>235.37</v>
      </c>
      <c r="R17" s="23">
        <v>5825</v>
      </c>
      <c r="S17" s="23" t="s">
        <v>77</v>
      </c>
      <c r="T17" s="23">
        <v>0</v>
      </c>
      <c r="U17" s="23">
        <v>50</v>
      </c>
      <c r="V17" s="23">
        <v>50</v>
      </c>
      <c r="W17" s="23">
        <v>0</v>
      </c>
      <c r="X17" s="23">
        <v>50</v>
      </c>
    </row>
    <row r="18" spans="1:24" ht="15" thickBot="1" x14ac:dyDescent="0.35">
      <c r="A18" s="23">
        <v>1282747</v>
      </c>
      <c r="B18" s="24">
        <v>45567</v>
      </c>
      <c r="C18" s="23" t="s">
        <v>36</v>
      </c>
      <c r="D18" s="23">
        <v>7.51</v>
      </c>
      <c r="E18" s="23"/>
      <c r="F18" s="23">
        <v>227.86</v>
      </c>
      <c r="R18" s="23">
        <v>5826</v>
      </c>
      <c r="S18" s="23" t="s">
        <v>78</v>
      </c>
      <c r="T18" s="23">
        <v>50</v>
      </c>
      <c r="U18" s="23">
        <v>50</v>
      </c>
      <c r="V18" s="23">
        <v>100</v>
      </c>
      <c r="W18" s="23">
        <v>100</v>
      </c>
      <c r="X18" s="23">
        <v>0</v>
      </c>
    </row>
    <row r="19" spans="1:24" ht="15" thickBot="1" x14ac:dyDescent="0.35">
      <c r="A19" s="23">
        <v>1282751</v>
      </c>
      <c r="B19" s="24">
        <v>45567</v>
      </c>
      <c r="C19" s="23" t="s">
        <v>64</v>
      </c>
      <c r="D19" s="23"/>
      <c r="E19" s="23">
        <v>100</v>
      </c>
      <c r="F19" s="23">
        <v>327.86</v>
      </c>
      <c r="R19" s="23">
        <v>5827</v>
      </c>
      <c r="S19" s="23" t="s">
        <v>79</v>
      </c>
      <c r="T19" s="23">
        <v>0</v>
      </c>
      <c r="U19" s="23">
        <v>50</v>
      </c>
      <c r="V19" s="23">
        <v>50</v>
      </c>
      <c r="W19" s="23">
        <v>0</v>
      </c>
      <c r="X19" s="23">
        <v>50</v>
      </c>
    </row>
    <row r="20" spans="1:24" ht="15" thickBot="1" x14ac:dyDescent="0.35">
      <c r="A20" s="23">
        <v>1282754</v>
      </c>
      <c r="B20" s="24">
        <v>45567</v>
      </c>
      <c r="C20" s="23" t="s">
        <v>65</v>
      </c>
      <c r="D20" s="23">
        <v>15.01</v>
      </c>
      <c r="E20" s="23"/>
      <c r="F20" s="23">
        <v>312.85000000000002</v>
      </c>
      <c r="R20" s="23">
        <v>5828</v>
      </c>
      <c r="S20" s="23" t="s">
        <v>80</v>
      </c>
      <c r="T20" s="23">
        <v>0</v>
      </c>
      <c r="U20" s="23">
        <v>50</v>
      </c>
      <c r="V20" s="23">
        <v>50</v>
      </c>
      <c r="W20" s="23">
        <v>50</v>
      </c>
      <c r="X20" s="23">
        <v>0</v>
      </c>
    </row>
    <row r="21" spans="1:24" ht="15" thickBot="1" x14ac:dyDescent="0.35">
      <c r="A21" s="23">
        <v>1282758</v>
      </c>
      <c r="B21" s="24">
        <v>45567</v>
      </c>
      <c r="C21" s="23" t="s">
        <v>49</v>
      </c>
      <c r="D21" s="23"/>
      <c r="E21" s="23">
        <v>50</v>
      </c>
      <c r="F21" s="23">
        <v>362.85</v>
      </c>
      <c r="R21" s="23">
        <v>5829</v>
      </c>
      <c r="S21" s="23" t="s">
        <v>81</v>
      </c>
      <c r="T21" s="23">
        <v>0</v>
      </c>
      <c r="U21" s="23">
        <v>50</v>
      </c>
      <c r="V21" s="23">
        <v>50</v>
      </c>
      <c r="W21" s="23">
        <v>0</v>
      </c>
      <c r="X21" s="23">
        <v>50</v>
      </c>
    </row>
    <row r="22" spans="1:24" ht="15" thickBot="1" x14ac:dyDescent="0.35">
      <c r="A22" s="23">
        <v>1282761</v>
      </c>
      <c r="B22" s="24">
        <v>45567</v>
      </c>
      <c r="C22" s="23" t="s">
        <v>50</v>
      </c>
      <c r="D22" s="23">
        <v>7.51</v>
      </c>
      <c r="E22" s="23"/>
      <c r="F22" s="23">
        <v>355.34</v>
      </c>
      <c r="R22" s="23">
        <v>5830</v>
      </c>
      <c r="S22" s="23" t="s">
        <v>82</v>
      </c>
      <c r="T22" s="23">
        <v>-100</v>
      </c>
      <c r="U22" s="23">
        <v>50</v>
      </c>
      <c r="V22" s="23">
        <v>-50</v>
      </c>
      <c r="W22" s="23">
        <v>0</v>
      </c>
      <c r="X22" s="23">
        <v>-50</v>
      </c>
    </row>
    <row r="23" spans="1:24" ht="15" thickBot="1" x14ac:dyDescent="0.35">
      <c r="A23" s="23">
        <v>1282765</v>
      </c>
      <c r="B23" s="24">
        <v>45567</v>
      </c>
      <c r="C23" s="23" t="s">
        <v>47</v>
      </c>
      <c r="D23" s="23"/>
      <c r="E23" s="23">
        <v>50</v>
      </c>
      <c r="F23" s="23">
        <v>405.34</v>
      </c>
      <c r="R23" s="25">
        <v>5831</v>
      </c>
      <c r="S23" s="25" t="s">
        <v>83</v>
      </c>
      <c r="T23" s="25">
        <v>0</v>
      </c>
      <c r="U23" s="25">
        <v>50</v>
      </c>
      <c r="V23" s="25">
        <v>50</v>
      </c>
      <c r="W23" s="25">
        <v>50</v>
      </c>
      <c r="X23" s="25">
        <v>0</v>
      </c>
    </row>
    <row r="24" spans="1:24" ht="15" thickBot="1" x14ac:dyDescent="0.35">
      <c r="A24" s="25">
        <v>1282768</v>
      </c>
      <c r="B24" s="26">
        <v>45567</v>
      </c>
      <c r="C24" s="25" t="s">
        <v>48</v>
      </c>
      <c r="D24" s="25">
        <v>7.51</v>
      </c>
      <c r="E24" s="25"/>
      <c r="F24" s="25">
        <v>397.83</v>
      </c>
      <c r="R24" s="23">
        <v>5832</v>
      </c>
      <c r="S24" s="23" t="s">
        <v>84</v>
      </c>
      <c r="T24" s="23">
        <v>0</v>
      </c>
      <c r="U24" s="23">
        <v>50</v>
      </c>
      <c r="V24" s="23">
        <v>50</v>
      </c>
      <c r="W24" s="23">
        <v>50</v>
      </c>
      <c r="X24" s="23">
        <v>0</v>
      </c>
    </row>
    <row r="25" spans="1:24" ht="15" thickBot="1" x14ac:dyDescent="0.35">
      <c r="A25" s="23">
        <v>1282772</v>
      </c>
      <c r="B25" s="24">
        <v>45567</v>
      </c>
      <c r="C25" s="23" t="s">
        <v>25</v>
      </c>
      <c r="D25" s="23"/>
      <c r="E25" s="23">
        <v>50</v>
      </c>
      <c r="F25" s="23">
        <v>447.83</v>
      </c>
      <c r="R25" s="23">
        <v>5833</v>
      </c>
      <c r="S25" s="23" t="s">
        <v>85</v>
      </c>
      <c r="T25" s="23">
        <v>0</v>
      </c>
      <c r="U25" s="23">
        <v>50</v>
      </c>
      <c r="V25" s="23">
        <v>50</v>
      </c>
      <c r="W25" s="23">
        <v>50</v>
      </c>
      <c r="X25" s="23">
        <v>0</v>
      </c>
    </row>
    <row r="26" spans="1:24" ht="15" thickBot="1" x14ac:dyDescent="0.35">
      <c r="A26" s="23">
        <v>1282775</v>
      </c>
      <c r="B26" s="24">
        <v>45567</v>
      </c>
      <c r="C26" s="23" t="s">
        <v>26</v>
      </c>
      <c r="D26" s="23">
        <v>7.51</v>
      </c>
      <c r="E26" s="23"/>
      <c r="F26" s="23">
        <v>440.32</v>
      </c>
      <c r="R26" s="23">
        <v>5834</v>
      </c>
      <c r="S26" s="23" t="s">
        <v>86</v>
      </c>
      <c r="T26" s="23">
        <v>0</v>
      </c>
      <c r="U26" s="23">
        <v>50</v>
      </c>
      <c r="V26" s="23">
        <v>50</v>
      </c>
      <c r="W26" s="23">
        <v>50</v>
      </c>
      <c r="X26" s="23">
        <v>0</v>
      </c>
    </row>
    <row r="27" spans="1:24" ht="15" thickBot="1" x14ac:dyDescent="0.35">
      <c r="A27" s="23">
        <v>1311639</v>
      </c>
      <c r="B27" s="24">
        <v>45596</v>
      </c>
      <c r="C27" s="23" t="s">
        <v>109</v>
      </c>
      <c r="D27" s="23">
        <v>180</v>
      </c>
      <c r="E27" s="23"/>
      <c r="F27" s="23">
        <v>260.32</v>
      </c>
      <c r="R27" s="23"/>
      <c r="S27" s="23"/>
      <c r="T27" s="29">
        <v>-50</v>
      </c>
      <c r="U27" s="29">
        <v>850</v>
      </c>
      <c r="V27" s="29">
        <v>800</v>
      </c>
      <c r="W27" s="29">
        <v>450</v>
      </c>
      <c r="X27" s="29">
        <v>350</v>
      </c>
    </row>
    <row r="28" spans="1:24" ht="15" thickBot="1" x14ac:dyDescent="0.35">
      <c r="A28" s="23">
        <v>1311810</v>
      </c>
      <c r="B28" s="24">
        <v>45596</v>
      </c>
      <c r="C28" s="23" t="s">
        <v>87</v>
      </c>
      <c r="D28" s="23">
        <v>363</v>
      </c>
      <c r="E28" s="23"/>
      <c r="F28" s="23">
        <v>-102.68</v>
      </c>
      <c r="X28">
        <f>X22</f>
        <v>-50</v>
      </c>
    </row>
    <row r="29" spans="1:24" x14ac:dyDescent="0.3">
      <c r="A29" s="23"/>
      <c r="B29" s="23"/>
      <c r="C29" s="23"/>
      <c r="D29" s="27">
        <v>610.58000000000004</v>
      </c>
      <c r="E29" s="27">
        <v>450</v>
      </c>
      <c r="F29" s="27">
        <v>-102.68</v>
      </c>
      <c r="X29">
        <f>X28*-1</f>
        <v>50</v>
      </c>
    </row>
    <row r="30" spans="1:24" x14ac:dyDescent="0.3">
      <c r="X30">
        <f>X27+X29</f>
        <v>400</v>
      </c>
    </row>
  </sheetData>
  <pageMargins left="0.7" right="0.7" top="0.75" bottom="0.75" header="0.3" footer="0.3"/>
  <drawing r:id="rId1"/>
  <legacyDrawing r:id="rId2"/>
  <controls>
    <mc:AlternateContent xmlns:mc="http://schemas.openxmlformats.org/markup-compatibility/2006">
      <mc:Choice Requires="x14">
        <control shapeId="4097" r:id="rId3" name="Control 1">
          <controlPr defaultSize="0" r:id="rId4">
            <anchor moveWithCells="1">
              <from>
                <xdr:col>17</xdr:col>
                <xdr:colOff>0</xdr:colOff>
                <xdr:row>27</xdr:row>
                <xdr:rowOff>0</xdr:rowOff>
              </from>
              <to>
                <xdr:col>17</xdr:col>
                <xdr:colOff>358140</xdr:colOff>
                <xdr:row>28</xdr:row>
                <xdr:rowOff>114300</xdr:rowOff>
              </to>
            </anchor>
          </controlPr>
        </control>
      </mc:Choice>
      <mc:Fallback>
        <control shapeId="4097" r:id="rId3" name="Control 1"/>
      </mc:Fallback>
    </mc:AlternateContent>
  </control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CCE08-5322-4FBD-9BF1-5DF515CC37C7}">
  <dimension ref="A1:X46"/>
  <sheetViews>
    <sheetView topLeftCell="A21" workbookViewId="0">
      <selection activeCell="C45" sqref="C45"/>
    </sheetView>
  </sheetViews>
  <sheetFormatPr defaultRowHeight="14.4" x14ac:dyDescent="0.3"/>
  <cols>
    <col min="1" max="1" width="9" bestFit="1" customWidth="1"/>
    <col min="2" max="2" width="11.44140625" bestFit="1" customWidth="1"/>
    <col min="3" max="3" width="28.88671875" customWidth="1"/>
    <col min="4" max="6" width="9" bestFit="1" customWidth="1"/>
  </cols>
  <sheetData>
    <row r="1" spans="1:24" x14ac:dyDescent="0.3">
      <c r="A1" s="17" t="s">
        <v>4</v>
      </c>
      <c r="B1" s="18"/>
      <c r="C1" s="18"/>
      <c r="D1" s="18"/>
      <c r="E1" s="18"/>
      <c r="F1" s="18"/>
      <c r="I1" s="17" t="s">
        <v>4</v>
      </c>
      <c r="J1" s="18"/>
      <c r="K1" s="18"/>
      <c r="L1" s="18"/>
      <c r="M1" s="18"/>
      <c r="N1" s="18"/>
      <c r="R1" s="17" t="s">
        <v>13</v>
      </c>
      <c r="S1" s="18"/>
      <c r="T1" s="18"/>
      <c r="U1" s="18"/>
      <c r="V1" s="18"/>
      <c r="W1" s="18"/>
      <c r="X1" s="18"/>
    </row>
    <row r="2" spans="1:24" x14ac:dyDescent="0.3">
      <c r="A2" s="18"/>
      <c r="B2" s="18"/>
      <c r="C2" s="18"/>
      <c r="D2" s="18"/>
      <c r="E2" s="18"/>
      <c r="F2" s="18"/>
      <c r="I2" s="18"/>
      <c r="J2" s="18"/>
      <c r="K2" s="18"/>
      <c r="L2" s="18"/>
      <c r="M2" s="18"/>
      <c r="N2" s="18"/>
      <c r="R2" s="11" t="s">
        <v>67</v>
      </c>
      <c r="S2" s="18"/>
      <c r="T2" s="18"/>
      <c r="U2" s="18"/>
      <c r="V2" s="18"/>
      <c r="W2" s="18"/>
      <c r="X2" s="18"/>
    </row>
    <row r="3" spans="1:24" x14ac:dyDescent="0.3">
      <c r="A3" s="19" t="s">
        <v>94</v>
      </c>
      <c r="B3" s="18"/>
      <c r="C3" s="18"/>
      <c r="D3" s="18"/>
      <c r="E3" s="18"/>
      <c r="F3" s="18"/>
      <c r="I3" s="19" t="s">
        <v>94</v>
      </c>
      <c r="J3" s="18"/>
      <c r="K3" s="18"/>
      <c r="L3" s="18"/>
      <c r="M3" s="18"/>
      <c r="N3" s="18"/>
      <c r="R3" s="11" t="s">
        <v>108</v>
      </c>
      <c r="S3" s="18"/>
      <c r="T3" s="18"/>
      <c r="U3" s="18"/>
      <c r="V3" s="18"/>
      <c r="W3" s="18"/>
      <c r="X3" s="18"/>
    </row>
    <row r="4" spans="1:24" x14ac:dyDescent="0.3">
      <c r="A4" s="18"/>
      <c r="B4" s="18"/>
      <c r="C4" s="18"/>
      <c r="D4" s="18"/>
      <c r="E4" s="18"/>
      <c r="F4" s="18"/>
      <c r="I4" s="18"/>
      <c r="J4" s="18"/>
      <c r="K4" s="18"/>
      <c r="L4" s="18"/>
      <c r="M4" s="18"/>
      <c r="N4" s="18"/>
      <c r="R4" s="11" t="s">
        <v>14</v>
      </c>
      <c r="S4" s="18"/>
      <c r="T4" s="18"/>
      <c r="U4" s="18"/>
      <c r="V4" s="18"/>
      <c r="W4" s="18"/>
      <c r="X4" s="18"/>
    </row>
    <row r="5" spans="1:24" x14ac:dyDescent="0.3">
      <c r="A5" s="20" t="s">
        <v>95</v>
      </c>
      <c r="B5" s="18"/>
      <c r="C5" s="18"/>
      <c r="D5" s="18"/>
      <c r="E5" s="18"/>
      <c r="F5" s="18"/>
      <c r="I5" s="20" t="s">
        <v>98</v>
      </c>
      <c r="J5" s="18"/>
      <c r="K5" s="18"/>
      <c r="L5" s="18"/>
      <c r="M5" s="18"/>
      <c r="N5" s="18"/>
      <c r="R5" s="18"/>
      <c r="S5" s="18"/>
      <c r="T5" s="18"/>
      <c r="U5" s="18"/>
      <c r="V5" s="18"/>
      <c r="W5" s="18"/>
      <c r="X5" s="18"/>
    </row>
    <row r="6" spans="1:24" x14ac:dyDescent="0.3">
      <c r="A6" s="20" t="s">
        <v>96</v>
      </c>
      <c r="B6" s="18"/>
      <c r="C6" s="18"/>
      <c r="D6" s="18"/>
      <c r="E6" s="18"/>
      <c r="F6" s="18"/>
      <c r="I6" s="20" t="s">
        <v>99</v>
      </c>
      <c r="J6" s="18"/>
      <c r="K6" s="18"/>
      <c r="L6" s="18"/>
      <c r="M6" s="18"/>
      <c r="N6" s="18"/>
      <c r="R6" s="18"/>
      <c r="S6" s="18"/>
      <c r="T6" s="18"/>
      <c r="U6" s="18"/>
      <c r="V6" s="18"/>
      <c r="W6" s="18"/>
      <c r="X6" s="18"/>
    </row>
    <row r="7" spans="1:24" x14ac:dyDescent="0.3">
      <c r="A7" s="20" t="s">
        <v>107</v>
      </c>
      <c r="B7" s="18"/>
      <c r="C7" s="18"/>
      <c r="D7" s="18"/>
      <c r="E7" s="18"/>
      <c r="F7" s="18"/>
      <c r="I7" s="20" t="s">
        <v>107</v>
      </c>
      <c r="J7" s="18"/>
      <c r="K7" s="18"/>
      <c r="L7" s="18"/>
      <c r="M7" s="18"/>
      <c r="N7" s="18"/>
      <c r="R7" s="18"/>
      <c r="S7" s="18"/>
      <c r="T7" s="18"/>
      <c r="U7" s="18"/>
      <c r="V7" s="18"/>
      <c r="W7" s="18"/>
      <c r="X7" s="18"/>
    </row>
    <row r="8" spans="1:24" x14ac:dyDescent="0.3">
      <c r="A8" s="21"/>
      <c r="B8" s="18"/>
      <c r="C8" s="18"/>
      <c r="D8" s="18"/>
      <c r="E8" s="18"/>
      <c r="F8" s="18"/>
      <c r="I8" s="21"/>
      <c r="J8" s="18"/>
      <c r="K8" s="18"/>
      <c r="L8" s="18"/>
      <c r="M8" s="18"/>
      <c r="N8" s="18"/>
      <c r="R8" s="11" t="s">
        <v>69</v>
      </c>
      <c r="S8" s="18"/>
      <c r="T8" s="18"/>
      <c r="U8" s="18"/>
      <c r="V8" s="18"/>
      <c r="W8" s="18"/>
      <c r="X8" s="18"/>
    </row>
    <row r="9" spans="1:24" ht="15" thickBot="1" x14ac:dyDescent="0.35">
      <c r="A9" s="22" t="s">
        <v>6</v>
      </c>
      <c r="B9" s="22" t="s">
        <v>7</v>
      </c>
      <c r="C9" s="22" t="s">
        <v>8</v>
      </c>
      <c r="D9" s="22" t="s">
        <v>9</v>
      </c>
      <c r="E9" s="22" t="s">
        <v>10</v>
      </c>
      <c r="F9" s="22" t="s">
        <v>11</v>
      </c>
      <c r="I9" s="22" t="s">
        <v>6</v>
      </c>
      <c r="J9" s="22" t="s">
        <v>7</v>
      </c>
      <c r="K9" s="22" t="s">
        <v>8</v>
      </c>
      <c r="L9" s="22" t="s">
        <v>9</v>
      </c>
      <c r="M9" s="22" t="s">
        <v>10</v>
      </c>
      <c r="N9" s="22" t="s">
        <v>11</v>
      </c>
      <c r="R9" s="28" t="s">
        <v>15</v>
      </c>
      <c r="S9" s="28" t="s">
        <v>16</v>
      </c>
      <c r="T9" s="28" t="s">
        <v>0</v>
      </c>
      <c r="U9" s="28" t="s">
        <v>17</v>
      </c>
      <c r="V9" s="28" t="s">
        <v>1</v>
      </c>
      <c r="W9" s="28" t="s">
        <v>2</v>
      </c>
      <c r="X9" s="28" t="s">
        <v>3</v>
      </c>
    </row>
    <row r="10" spans="1:24" ht="15" thickBot="1" x14ac:dyDescent="0.35">
      <c r="A10" s="23"/>
      <c r="B10" s="23"/>
      <c r="C10" s="23" t="s">
        <v>12</v>
      </c>
      <c r="D10" s="23"/>
      <c r="E10" s="23"/>
      <c r="F10" s="23">
        <v>8.56</v>
      </c>
      <c r="I10" s="23"/>
      <c r="J10" s="23"/>
      <c r="K10" s="23" t="s">
        <v>12</v>
      </c>
      <c r="L10" s="23"/>
      <c r="M10" s="23"/>
      <c r="N10" s="23">
        <v>0</v>
      </c>
      <c r="R10" s="23">
        <v>5817</v>
      </c>
      <c r="S10" s="23" t="s">
        <v>70</v>
      </c>
      <c r="T10" s="23">
        <v>0</v>
      </c>
      <c r="U10" s="23">
        <v>50</v>
      </c>
      <c r="V10" s="23">
        <v>50</v>
      </c>
      <c r="W10" s="23">
        <v>100</v>
      </c>
      <c r="X10" s="23">
        <v>-50</v>
      </c>
    </row>
    <row r="11" spans="1:24" ht="15" thickBot="1" x14ac:dyDescent="0.35">
      <c r="A11" s="23">
        <v>1260426</v>
      </c>
      <c r="B11" s="24">
        <v>45537</v>
      </c>
      <c r="C11" s="23" t="s">
        <v>51</v>
      </c>
      <c r="D11" s="23"/>
      <c r="E11" s="23">
        <v>50</v>
      </c>
      <c r="F11" s="23">
        <v>58.56</v>
      </c>
      <c r="I11" s="23"/>
      <c r="J11" s="23"/>
      <c r="K11" s="23"/>
      <c r="L11" s="27">
        <v>0</v>
      </c>
      <c r="M11" s="27">
        <v>0</v>
      </c>
      <c r="N11" s="27">
        <v>0</v>
      </c>
      <c r="R11" s="23">
        <v>5819</v>
      </c>
      <c r="S11" s="23" t="s">
        <v>71</v>
      </c>
      <c r="T11" s="23">
        <v>0</v>
      </c>
      <c r="U11" s="23">
        <v>50</v>
      </c>
      <c r="V11" s="23">
        <v>50</v>
      </c>
      <c r="W11" s="23">
        <v>50</v>
      </c>
      <c r="X11" s="23">
        <v>0</v>
      </c>
    </row>
    <row r="12" spans="1:24" ht="15" thickBot="1" x14ac:dyDescent="0.35">
      <c r="A12" s="23">
        <v>1260430</v>
      </c>
      <c r="B12" s="24">
        <v>45537</v>
      </c>
      <c r="C12" s="23" t="s">
        <v>52</v>
      </c>
      <c r="D12" s="23">
        <v>7.51</v>
      </c>
      <c r="E12" s="23"/>
      <c r="F12" s="23">
        <v>51.05</v>
      </c>
      <c r="R12" s="23">
        <v>5820</v>
      </c>
      <c r="S12" s="23" t="s">
        <v>72</v>
      </c>
      <c r="T12" s="23">
        <v>0</v>
      </c>
      <c r="U12" s="23">
        <v>50</v>
      </c>
      <c r="V12" s="23">
        <v>50</v>
      </c>
      <c r="W12" s="23">
        <v>0</v>
      </c>
      <c r="X12" s="23">
        <v>50</v>
      </c>
    </row>
    <row r="13" spans="1:24" ht="15" thickBot="1" x14ac:dyDescent="0.35">
      <c r="A13" s="23">
        <v>1260589</v>
      </c>
      <c r="B13" s="24">
        <v>45537</v>
      </c>
      <c r="C13" s="23" t="s">
        <v>41</v>
      </c>
      <c r="D13" s="23"/>
      <c r="E13" s="23">
        <v>50</v>
      </c>
      <c r="F13" s="23">
        <v>101.05</v>
      </c>
      <c r="R13" s="23">
        <v>5821</v>
      </c>
      <c r="S13" s="23" t="s">
        <v>73</v>
      </c>
      <c r="T13" s="23">
        <v>0</v>
      </c>
      <c r="U13" s="23">
        <v>50</v>
      </c>
      <c r="V13" s="23">
        <v>50</v>
      </c>
      <c r="W13" s="23">
        <v>50</v>
      </c>
      <c r="X13" s="23">
        <v>0</v>
      </c>
    </row>
    <row r="14" spans="1:24" ht="15" thickBot="1" x14ac:dyDescent="0.35">
      <c r="A14" s="23">
        <v>1260593</v>
      </c>
      <c r="B14" s="24">
        <v>45537</v>
      </c>
      <c r="C14" s="23" t="s">
        <v>42</v>
      </c>
      <c r="D14" s="23">
        <v>7.51</v>
      </c>
      <c r="E14" s="23"/>
      <c r="F14" s="23">
        <v>93.54</v>
      </c>
      <c r="R14" s="23">
        <v>5822</v>
      </c>
      <c r="S14" s="23" t="s">
        <v>74</v>
      </c>
      <c r="T14" s="23">
        <v>0</v>
      </c>
      <c r="U14" s="23">
        <v>50</v>
      </c>
      <c r="V14" s="23">
        <v>50</v>
      </c>
      <c r="W14" s="23">
        <v>50</v>
      </c>
      <c r="X14" s="23">
        <v>0</v>
      </c>
    </row>
    <row r="15" spans="1:24" ht="15" thickBot="1" x14ac:dyDescent="0.35">
      <c r="A15" s="23">
        <v>1264114</v>
      </c>
      <c r="B15" s="24">
        <v>45538</v>
      </c>
      <c r="C15" s="23" t="s">
        <v>37</v>
      </c>
      <c r="D15" s="23"/>
      <c r="E15" s="23">
        <v>50</v>
      </c>
      <c r="F15" s="23">
        <v>143.54</v>
      </c>
      <c r="R15" s="23">
        <v>5823</v>
      </c>
      <c r="S15" s="23" t="s">
        <v>75</v>
      </c>
      <c r="T15" s="23">
        <v>50</v>
      </c>
      <c r="U15" s="23">
        <v>50</v>
      </c>
      <c r="V15" s="23">
        <v>100</v>
      </c>
      <c r="W15" s="23">
        <v>100</v>
      </c>
      <c r="X15" s="23">
        <v>0</v>
      </c>
    </row>
    <row r="16" spans="1:24" ht="15" thickBot="1" x14ac:dyDescent="0.35">
      <c r="A16" s="23">
        <v>1264117</v>
      </c>
      <c r="B16" s="24">
        <v>45538</v>
      </c>
      <c r="C16" s="23" t="s">
        <v>38</v>
      </c>
      <c r="D16" s="23">
        <v>7.51</v>
      </c>
      <c r="E16" s="23"/>
      <c r="F16" s="23">
        <v>136.03</v>
      </c>
      <c r="R16" s="23">
        <v>5824</v>
      </c>
      <c r="S16" s="23" t="s">
        <v>76</v>
      </c>
      <c r="T16" s="23">
        <v>0</v>
      </c>
      <c r="U16" s="23">
        <v>50</v>
      </c>
      <c r="V16" s="23">
        <v>50</v>
      </c>
      <c r="W16" s="23">
        <v>50</v>
      </c>
      <c r="X16" s="23">
        <v>0</v>
      </c>
    </row>
    <row r="17" spans="1:24" ht="15" thickBot="1" x14ac:dyDescent="0.35">
      <c r="A17" s="23">
        <v>1264121</v>
      </c>
      <c r="B17" s="24">
        <v>45538</v>
      </c>
      <c r="C17" s="23" t="s">
        <v>39</v>
      </c>
      <c r="D17" s="23"/>
      <c r="E17" s="23">
        <v>50</v>
      </c>
      <c r="F17" s="23">
        <v>186.03</v>
      </c>
      <c r="R17" s="23">
        <v>5825</v>
      </c>
      <c r="S17" s="23" t="s">
        <v>77</v>
      </c>
      <c r="T17" s="23">
        <v>0</v>
      </c>
      <c r="U17" s="23">
        <v>50</v>
      </c>
      <c r="V17" s="23">
        <v>50</v>
      </c>
      <c r="W17" s="23">
        <v>50</v>
      </c>
      <c r="X17" s="23">
        <v>0</v>
      </c>
    </row>
    <row r="18" spans="1:24" ht="15" thickBot="1" x14ac:dyDescent="0.35">
      <c r="A18" s="23">
        <v>1264124</v>
      </c>
      <c r="B18" s="24">
        <v>45538</v>
      </c>
      <c r="C18" s="23" t="s">
        <v>40</v>
      </c>
      <c r="D18" s="23">
        <v>7.51</v>
      </c>
      <c r="E18" s="23"/>
      <c r="F18" s="23">
        <v>178.52</v>
      </c>
      <c r="R18" s="23">
        <v>5826</v>
      </c>
      <c r="S18" s="23" t="s">
        <v>78</v>
      </c>
      <c r="T18" s="23">
        <v>50</v>
      </c>
      <c r="U18" s="23">
        <v>50</v>
      </c>
      <c r="V18" s="23">
        <v>100</v>
      </c>
      <c r="W18" s="23">
        <v>50</v>
      </c>
      <c r="X18" s="23">
        <v>50</v>
      </c>
    </row>
    <row r="19" spans="1:24" ht="15" thickBot="1" x14ac:dyDescent="0.35">
      <c r="A19" s="23">
        <v>1264128</v>
      </c>
      <c r="B19" s="24">
        <v>45538</v>
      </c>
      <c r="C19" s="23" t="s">
        <v>53</v>
      </c>
      <c r="D19" s="23"/>
      <c r="E19" s="23">
        <v>50</v>
      </c>
      <c r="F19" s="23">
        <v>228.52</v>
      </c>
      <c r="R19" s="23">
        <v>5827</v>
      </c>
      <c r="S19" s="23" t="s">
        <v>79</v>
      </c>
      <c r="T19" s="23">
        <v>0</v>
      </c>
      <c r="U19" s="23">
        <v>50</v>
      </c>
      <c r="V19" s="23">
        <v>50</v>
      </c>
      <c r="W19" s="23">
        <v>50</v>
      </c>
      <c r="X19" s="23">
        <v>0</v>
      </c>
    </row>
    <row r="20" spans="1:24" ht="15" thickBot="1" x14ac:dyDescent="0.35">
      <c r="A20" s="23">
        <v>1264131</v>
      </c>
      <c r="B20" s="24">
        <v>45538</v>
      </c>
      <c r="C20" s="23" t="s">
        <v>54</v>
      </c>
      <c r="D20" s="23">
        <v>7.51</v>
      </c>
      <c r="E20" s="23"/>
      <c r="F20" s="23">
        <v>221.01</v>
      </c>
      <c r="R20" s="25">
        <v>5828</v>
      </c>
      <c r="S20" s="25" t="s">
        <v>80</v>
      </c>
      <c r="T20" s="25">
        <v>0</v>
      </c>
      <c r="U20" s="25">
        <v>50</v>
      </c>
      <c r="V20" s="25">
        <v>50</v>
      </c>
      <c r="W20" s="25">
        <v>50</v>
      </c>
      <c r="X20" s="25">
        <v>0</v>
      </c>
    </row>
    <row r="21" spans="1:24" ht="15" thickBot="1" x14ac:dyDescent="0.35">
      <c r="A21" s="23">
        <v>1264135</v>
      </c>
      <c r="B21" s="24">
        <v>45538</v>
      </c>
      <c r="C21" s="23" t="s">
        <v>43</v>
      </c>
      <c r="D21" s="23"/>
      <c r="E21" s="23">
        <v>50</v>
      </c>
      <c r="F21" s="23">
        <v>271.01</v>
      </c>
      <c r="R21" s="23">
        <v>5829</v>
      </c>
      <c r="S21" s="23" t="s">
        <v>81</v>
      </c>
      <c r="T21" s="23">
        <v>0</v>
      </c>
      <c r="U21" s="23">
        <v>50</v>
      </c>
      <c r="V21" s="23">
        <v>50</v>
      </c>
      <c r="W21" s="23">
        <v>50</v>
      </c>
      <c r="X21" s="23">
        <v>0</v>
      </c>
    </row>
    <row r="22" spans="1:24" ht="15" thickBot="1" x14ac:dyDescent="0.35">
      <c r="A22" s="23">
        <v>1264138</v>
      </c>
      <c r="B22" s="24">
        <v>45538</v>
      </c>
      <c r="C22" s="23" t="s">
        <v>44</v>
      </c>
      <c r="D22" s="23">
        <v>7.51</v>
      </c>
      <c r="E22" s="23"/>
      <c r="F22" s="23">
        <v>263.5</v>
      </c>
      <c r="R22" s="23">
        <v>5830</v>
      </c>
      <c r="S22" s="23" t="s">
        <v>82</v>
      </c>
      <c r="T22" s="23">
        <v>-50</v>
      </c>
      <c r="U22" s="23">
        <v>50</v>
      </c>
      <c r="V22" s="23">
        <v>0</v>
      </c>
      <c r="W22" s="23">
        <v>100</v>
      </c>
      <c r="X22" s="23">
        <v>-100</v>
      </c>
    </row>
    <row r="23" spans="1:24" ht="15" thickBot="1" x14ac:dyDescent="0.35">
      <c r="A23" s="23">
        <v>1264142</v>
      </c>
      <c r="B23" s="24">
        <v>45538</v>
      </c>
      <c r="C23" s="23" t="s">
        <v>49</v>
      </c>
      <c r="D23" s="23"/>
      <c r="E23" s="23">
        <v>50</v>
      </c>
      <c r="F23" s="23">
        <v>313.5</v>
      </c>
      <c r="R23" s="23">
        <v>5831</v>
      </c>
      <c r="S23" s="23" t="s">
        <v>83</v>
      </c>
      <c r="T23" s="23">
        <v>0</v>
      </c>
      <c r="U23" s="23">
        <v>50</v>
      </c>
      <c r="V23" s="23">
        <v>50</v>
      </c>
      <c r="W23" s="23">
        <v>50</v>
      </c>
      <c r="X23" s="23">
        <v>0</v>
      </c>
    </row>
    <row r="24" spans="1:24" ht="15" thickBot="1" x14ac:dyDescent="0.35">
      <c r="A24" s="23">
        <v>1264145</v>
      </c>
      <c r="B24" s="24">
        <v>45538</v>
      </c>
      <c r="C24" s="23" t="s">
        <v>50</v>
      </c>
      <c r="D24" s="23">
        <v>7.51</v>
      </c>
      <c r="E24" s="23"/>
      <c r="F24" s="23">
        <v>305.99</v>
      </c>
      <c r="R24" s="23">
        <v>5832</v>
      </c>
      <c r="S24" s="23" t="s">
        <v>84</v>
      </c>
      <c r="T24" s="23">
        <v>0</v>
      </c>
      <c r="U24" s="23">
        <v>50</v>
      </c>
      <c r="V24" s="23">
        <v>50</v>
      </c>
      <c r="W24" s="23">
        <v>50</v>
      </c>
      <c r="X24" s="23">
        <v>0</v>
      </c>
    </row>
    <row r="25" spans="1:24" ht="15" thickBot="1" x14ac:dyDescent="0.35">
      <c r="A25" s="23">
        <v>1264149</v>
      </c>
      <c r="B25" s="24">
        <v>45538</v>
      </c>
      <c r="C25" s="23" t="s">
        <v>45</v>
      </c>
      <c r="D25" s="23"/>
      <c r="E25" s="23">
        <v>100</v>
      </c>
      <c r="F25" s="23">
        <v>405.99</v>
      </c>
      <c r="R25" s="23">
        <v>5833</v>
      </c>
      <c r="S25" s="23" t="s">
        <v>85</v>
      </c>
      <c r="T25" s="23">
        <v>0</v>
      </c>
      <c r="U25" s="23">
        <v>50</v>
      </c>
      <c r="V25" s="23">
        <v>50</v>
      </c>
      <c r="W25" s="23">
        <v>50</v>
      </c>
      <c r="X25" s="23">
        <v>0</v>
      </c>
    </row>
    <row r="26" spans="1:24" ht="15" thickBot="1" x14ac:dyDescent="0.35">
      <c r="A26" s="23">
        <v>1264152</v>
      </c>
      <c r="B26" s="24">
        <v>45538</v>
      </c>
      <c r="C26" s="23" t="s">
        <v>46</v>
      </c>
      <c r="D26" s="23">
        <v>15.01</v>
      </c>
      <c r="E26" s="23"/>
      <c r="F26" s="23">
        <v>390.98</v>
      </c>
      <c r="R26" s="23">
        <v>5834</v>
      </c>
      <c r="S26" s="23" t="s">
        <v>86</v>
      </c>
      <c r="T26" s="23">
        <v>0</v>
      </c>
      <c r="U26" s="23">
        <v>50</v>
      </c>
      <c r="V26" s="23">
        <v>50</v>
      </c>
      <c r="W26" s="23">
        <v>50</v>
      </c>
      <c r="X26" s="23">
        <v>0</v>
      </c>
    </row>
    <row r="27" spans="1:24" ht="15" thickBot="1" x14ac:dyDescent="0.35">
      <c r="A27" s="23">
        <v>1264156</v>
      </c>
      <c r="B27" s="24">
        <v>45538</v>
      </c>
      <c r="C27" s="23" t="s">
        <v>47</v>
      </c>
      <c r="D27" s="23"/>
      <c r="E27" s="23">
        <v>50</v>
      </c>
      <c r="F27" s="23">
        <v>440.98</v>
      </c>
      <c r="R27" s="23"/>
      <c r="S27" s="23"/>
      <c r="T27" s="29">
        <v>50</v>
      </c>
      <c r="U27" s="29">
        <v>850</v>
      </c>
      <c r="V27" s="29">
        <v>900</v>
      </c>
      <c r="W27" s="29">
        <v>950</v>
      </c>
      <c r="X27" s="29">
        <v>-50</v>
      </c>
    </row>
    <row r="28" spans="1:24" ht="15" thickBot="1" x14ac:dyDescent="0.35">
      <c r="A28" s="23">
        <v>1264159</v>
      </c>
      <c r="B28" s="24">
        <v>45538</v>
      </c>
      <c r="C28" s="23" t="s">
        <v>48</v>
      </c>
      <c r="D28" s="23">
        <v>7.51</v>
      </c>
      <c r="E28" s="23"/>
      <c r="F28" s="23">
        <v>433.47</v>
      </c>
      <c r="X28">
        <f>X10+X22</f>
        <v>-150</v>
      </c>
    </row>
    <row r="29" spans="1:24" ht="15" thickBot="1" x14ac:dyDescent="0.35">
      <c r="A29" s="23">
        <v>1264163</v>
      </c>
      <c r="B29" s="24">
        <v>45538</v>
      </c>
      <c r="C29" s="23" t="s">
        <v>35</v>
      </c>
      <c r="D29" s="23"/>
      <c r="E29" s="23">
        <v>50</v>
      </c>
      <c r="F29" s="23">
        <v>483.47</v>
      </c>
      <c r="X29">
        <f>X28*-1</f>
        <v>150</v>
      </c>
    </row>
    <row r="30" spans="1:24" ht="15" thickBot="1" x14ac:dyDescent="0.35">
      <c r="A30" s="23">
        <v>1264166</v>
      </c>
      <c r="B30" s="24">
        <v>45538</v>
      </c>
      <c r="C30" s="23" t="s">
        <v>36</v>
      </c>
      <c r="D30" s="23">
        <v>7.51</v>
      </c>
      <c r="E30" s="23"/>
      <c r="F30" s="23">
        <v>475.96</v>
      </c>
      <c r="X30">
        <f>X29+X27</f>
        <v>100</v>
      </c>
    </row>
    <row r="31" spans="1:24" ht="15" thickBot="1" x14ac:dyDescent="0.35">
      <c r="A31" s="23">
        <v>1264170</v>
      </c>
      <c r="B31" s="24">
        <v>45538</v>
      </c>
      <c r="C31" s="23" t="s">
        <v>64</v>
      </c>
      <c r="D31" s="23"/>
      <c r="E31" s="23">
        <v>50</v>
      </c>
      <c r="F31" s="23">
        <v>525.96</v>
      </c>
    </row>
    <row r="32" spans="1:24" ht="15" thickBot="1" x14ac:dyDescent="0.35">
      <c r="A32" s="23">
        <v>1264173</v>
      </c>
      <c r="B32" s="24">
        <v>45538</v>
      </c>
      <c r="C32" s="23" t="s">
        <v>65</v>
      </c>
      <c r="D32" s="23">
        <v>7.51</v>
      </c>
      <c r="E32" s="23"/>
      <c r="F32" s="23">
        <v>518.45000000000005</v>
      </c>
    </row>
    <row r="33" spans="1:6" ht="15" thickBot="1" x14ac:dyDescent="0.35">
      <c r="A33" s="23">
        <v>1264177</v>
      </c>
      <c r="B33" s="24">
        <v>45538</v>
      </c>
      <c r="C33" s="23" t="s">
        <v>31</v>
      </c>
      <c r="D33" s="23"/>
      <c r="E33" s="23">
        <v>50</v>
      </c>
      <c r="F33" s="23">
        <v>568.45000000000005</v>
      </c>
    </row>
    <row r="34" spans="1:6" ht="15" thickBot="1" x14ac:dyDescent="0.35">
      <c r="A34" s="23">
        <v>1264180</v>
      </c>
      <c r="B34" s="24">
        <v>45538</v>
      </c>
      <c r="C34" s="23" t="s">
        <v>32</v>
      </c>
      <c r="D34" s="23">
        <v>7.51</v>
      </c>
      <c r="E34" s="23"/>
      <c r="F34" s="23">
        <v>560.94000000000005</v>
      </c>
    </row>
    <row r="35" spans="1:6" ht="15" thickBot="1" x14ac:dyDescent="0.35">
      <c r="A35" s="23">
        <v>1264184</v>
      </c>
      <c r="B35" s="24">
        <v>45538</v>
      </c>
      <c r="C35" s="23" t="s">
        <v>25</v>
      </c>
      <c r="D35" s="23"/>
      <c r="E35" s="23">
        <v>50</v>
      </c>
      <c r="F35" s="23">
        <v>610.94000000000005</v>
      </c>
    </row>
    <row r="36" spans="1:6" ht="15" thickBot="1" x14ac:dyDescent="0.35">
      <c r="A36" s="23">
        <v>1264187</v>
      </c>
      <c r="B36" s="24">
        <v>45538</v>
      </c>
      <c r="C36" s="23" t="s">
        <v>26</v>
      </c>
      <c r="D36" s="23">
        <v>7.51</v>
      </c>
      <c r="E36" s="23"/>
      <c r="F36" s="23">
        <v>603.42999999999995</v>
      </c>
    </row>
    <row r="37" spans="1:6" ht="15" thickBot="1" x14ac:dyDescent="0.35">
      <c r="A37" s="23">
        <v>1271494</v>
      </c>
      <c r="B37" s="24">
        <v>45541</v>
      </c>
      <c r="C37" s="23" t="s">
        <v>101</v>
      </c>
      <c r="D37" s="23">
        <v>10</v>
      </c>
      <c r="E37" s="23"/>
      <c r="F37" s="23">
        <v>693.43</v>
      </c>
    </row>
    <row r="38" spans="1:6" ht="15" thickBot="1" x14ac:dyDescent="0.35">
      <c r="A38" s="23">
        <v>1270373</v>
      </c>
      <c r="B38" s="24">
        <v>45546</v>
      </c>
      <c r="C38" s="23" t="s">
        <v>102</v>
      </c>
      <c r="D38" s="23"/>
      <c r="E38" s="23">
        <v>100</v>
      </c>
      <c r="F38" s="23">
        <v>693.43</v>
      </c>
    </row>
    <row r="39" spans="1:6" ht="15" thickBot="1" x14ac:dyDescent="0.35">
      <c r="A39" s="23">
        <v>1270376</v>
      </c>
      <c r="B39" s="24">
        <v>45546</v>
      </c>
      <c r="C39" s="23" t="s">
        <v>103</v>
      </c>
      <c r="D39" s="23">
        <v>15.01</v>
      </c>
      <c r="E39" s="23"/>
      <c r="F39" s="23">
        <v>678.42</v>
      </c>
    </row>
    <row r="40" spans="1:6" ht="15" thickBot="1" x14ac:dyDescent="0.35">
      <c r="A40" s="23">
        <v>1273752</v>
      </c>
      <c r="B40" s="24">
        <v>45554</v>
      </c>
      <c r="C40" s="23" t="s">
        <v>33</v>
      </c>
      <c r="D40" s="23"/>
      <c r="E40" s="23">
        <v>100</v>
      </c>
      <c r="F40" s="23">
        <v>778.42</v>
      </c>
    </row>
    <row r="41" spans="1:6" ht="15" thickBot="1" x14ac:dyDescent="0.35">
      <c r="A41" s="25">
        <v>1273755</v>
      </c>
      <c r="B41" s="26">
        <v>45554</v>
      </c>
      <c r="C41" s="25" t="s">
        <v>34</v>
      </c>
      <c r="D41" s="25">
        <v>15.01</v>
      </c>
      <c r="E41" s="25"/>
      <c r="F41" s="25">
        <v>763.41</v>
      </c>
    </row>
    <row r="42" spans="1:6" ht="15" thickBot="1" x14ac:dyDescent="0.35">
      <c r="A42" s="23">
        <v>1274593</v>
      </c>
      <c r="B42" s="24">
        <v>45554</v>
      </c>
      <c r="C42" s="23" t="s">
        <v>104</v>
      </c>
      <c r="D42" s="23">
        <v>215</v>
      </c>
      <c r="E42" s="23"/>
      <c r="F42" s="23">
        <v>548.41</v>
      </c>
    </row>
    <row r="43" spans="1:6" ht="15" thickBot="1" x14ac:dyDescent="0.35">
      <c r="A43" s="23">
        <v>1275829</v>
      </c>
      <c r="B43" s="24">
        <v>45559</v>
      </c>
      <c r="C43" s="23" t="s">
        <v>105</v>
      </c>
      <c r="D43" s="23"/>
      <c r="E43" s="23">
        <v>50</v>
      </c>
      <c r="F43" s="23">
        <v>598.41</v>
      </c>
    </row>
    <row r="44" spans="1:6" ht="15" thickBot="1" x14ac:dyDescent="0.35">
      <c r="A44" s="23">
        <v>1275832</v>
      </c>
      <c r="B44" s="24">
        <v>45559</v>
      </c>
      <c r="C44" s="23" t="s">
        <v>106</v>
      </c>
      <c r="D44" s="23">
        <v>7.51</v>
      </c>
      <c r="E44" s="23"/>
      <c r="F44" s="23">
        <v>590.9</v>
      </c>
    </row>
    <row r="45" spans="1:6" ht="15" thickBot="1" x14ac:dyDescent="0.35">
      <c r="A45" s="23">
        <v>1280621</v>
      </c>
      <c r="B45" s="24">
        <v>45565</v>
      </c>
      <c r="C45" s="23" t="s">
        <v>59</v>
      </c>
      <c r="D45" s="23">
        <v>533</v>
      </c>
      <c r="E45" s="23"/>
      <c r="F45" s="23">
        <v>57.9</v>
      </c>
    </row>
    <row r="46" spans="1:6" x14ac:dyDescent="0.3">
      <c r="A46" s="23"/>
      <c r="B46" s="23"/>
      <c r="C46" s="23"/>
      <c r="D46" s="27">
        <v>900.66</v>
      </c>
      <c r="E46" s="27">
        <v>950</v>
      </c>
      <c r="F46" s="27">
        <v>57.9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A1F10-4302-474A-9D37-992C211FD011}">
  <dimension ref="A1:X30"/>
  <sheetViews>
    <sheetView workbookViewId="0">
      <selection activeCell="A16" sqref="A16"/>
    </sheetView>
  </sheetViews>
  <sheetFormatPr defaultRowHeight="14.4" x14ac:dyDescent="0.3"/>
  <cols>
    <col min="1" max="1" width="9" bestFit="1" customWidth="1"/>
    <col min="2" max="2" width="11.44140625" bestFit="1" customWidth="1"/>
    <col min="3" max="3" width="22.44140625" customWidth="1"/>
    <col min="4" max="6" width="9" bestFit="1" customWidth="1"/>
  </cols>
  <sheetData>
    <row r="1" spans="1:24" x14ac:dyDescent="0.3">
      <c r="A1" s="17" t="s">
        <v>4</v>
      </c>
      <c r="B1" s="18"/>
      <c r="C1" s="18"/>
      <c r="D1" s="18"/>
      <c r="E1" s="18"/>
      <c r="F1" s="18"/>
      <c r="J1" s="17" t="s">
        <v>4</v>
      </c>
      <c r="K1" s="18"/>
      <c r="L1" s="18"/>
      <c r="M1" s="18"/>
      <c r="N1" s="18"/>
      <c r="O1" s="18"/>
      <c r="R1" s="17" t="s">
        <v>13</v>
      </c>
      <c r="S1" s="18"/>
      <c r="T1" s="18"/>
      <c r="U1" s="18"/>
      <c r="V1" s="18"/>
      <c r="W1" s="18"/>
      <c r="X1" s="18"/>
    </row>
    <row r="2" spans="1:24" x14ac:dyDescent="0.3">
      <c r="A2" s="18"/>
      <c r="B2" s="18"/>
      <c r="C2" s="18"/>
      <c r="D2" s="18"/>
      <c r="E2" s="18"/>
      <c r="F2" s="18"/>
      <c r="J2" s="18"/>
      <c r="K2" s="18"/>
      <c r="L2" s="18"/>
      <c r="M2" s="18"/>
      <c r="N2" s="18"/>
      <c r="O2" s="18"/>
      <c r="R2" s="11" t="s">
        <v>67</v>
      </c>
      <c r="S2" s="18"/>
      <c r="T2" s="18"/>
      <c r="U2" s="18"/>
      <c r="V2" s="18"/>
      <c r="W2" s="18"/>
      <c r="X2" s="18"/>
    </row>
    <row r="3" spans="1:24" x14ac:dyDescent="0.3">
      <c r="A3" s="19" t="s">
        <v>94</v>
      </c>
      <c r="B3" s="18"/>
      <c r="C3" s="18"/>
      <c r="D3" s="18"/>
      <c r="E3" s="18"/>
      <c r="F3" s="18"/>
      <c r="J3" s="19" t="s">
        <v>94</v>
      </c>
      <c r="K3" s="18"/>
      <c r="L3" s="18"/>
      <c r="M3" s="18"/>
      <c r="N3" s="18"/>
      <c r="O3" s="18"/>
      <c r="R3" s="11" t="s">
        <v>100</v>
      </c>
      <c r="S3" s="18"/>
      <c r="T3" s="18"/>
      <c r="U3" s="18"/>
      <c r="V3" s="18"/>
      <c r="W3" s="18"/>
      <c r="X3" s="18"/>
    </row>
    <row r="4" spans="1:24" x14ac:dyDescent="0.3">
      <c r="A4" s="18"/>
      <c r="B4" s="18"/>
      <c r="C4" s="18"/>
      <c r="D4" s="18"/>
      <c r="E4" s="18"/>
      <c r="F4" s="18"/>
      <c r="J4" s="18"/>
      <c r="K4" s="18"/>
      <c r="L4" s="18"/>
      <c r="M4" s="18"/>
      <c r="N4" s="18"/>
      <c r="O4" s="18"/>
      <c r="R4" s="11" t="s">
        <v>14</v>
      </c>
      <c r="S4" s="18"/>
      <c r="T4" s="18"/>
      <c r="U4" s="18"/>
      <c r="V4" s="18"/>
      <c r="W4" s="18"/>
      <c r="X4" s="18"/>
    </row>
    <row r="5" spans="1:24" x14ac:dyDescent="0.3">
      <c r="A5" s="20" t="s">
        <v>95</v>
      </c>
      <c r="B5" s="18"/>
      <c r="C5" s="18"/>
      <c r="D5" s="18"/>
      <c r="E5" s="18"/>
      <c r="F5" s="18"/>
      <c r="J5" s="20" t="s">
        <v>98</v>
      </c>
      <c r="K5" s="18"/>
      <c r="L5" s="18"/>
      <c r="M5" s="18"/>
      <c r="N5" s="18"/>
      <c r="O5" s="18"/>
      <c r="R5" s="18"/>
      <c r="S5" s="18"/>
      <c r="T5" s="18"/>
      <c r="U5" s="18"/>
      <c r="V5" s="18"/>
      <c r="W5" s="18"/>
      <c r="X5" s="18"/>
    </row>
    <row r="6" spans="1:24" x14ac:dyDescent="0.3">
      <c r="A6" s="20" t="s">
        <v>96</v>
      </c>
      <c r="B6" s="18"/>
      <c r="C6" s="18"/>
      <c r="D6" s="18"/>
      <c r="E6" s="18"/>
      <c r="F6" s="18"/>
      <c r="J6" s="20" t="s">
        <v>99</v>
      </c>
      <c r="K6" s="18"/>
      <c r="L6" s="18"/>
      <c r="M6" s="18"/>
      <c r="N6" s="18"/>
      <c r="O6" s="18"/>
      <c r="R6" s="18"/>
      <c r="S6" s="18"/>
      <c r="T6" s="18"/>
      <c r="U6" s="18"/>
      <c r="V6" s="18"/>
      <c r="W6" s="18"/>
      <c r="X6" s="18"/>
    </row>
    <row r="7" spans="1:24" x14ac:dyDescent="0.3">
      <c r="A7" s="20" t="s">
        <v>97</v>
      </c>
      <c r="B7" s="18"/>
      <c r="C7" s="18"/>
      <c r="D7" s="18"/>
      <c r="E7" s="18"/>
      <c r="F7" s="18"/>
      <c r="J7" s="20" t="s">
        <v>97</v>
      </c>
      <c r="K7" s="18"/>
      <c r="L7" s="18"/>
      <c r="M7" s="18"/>
      <c r="N7" s="18"/>
      <c r="O7" s="18"/>
      <c r="R7" s="18"/>
      <c r="S7" s="18"/>
      <c r="T7" s="18"/>
      <c r="U7" s="18"/>
      <c r="V7" s="18"/>
      <c r="W7" s="18"/>
      <c r="X7" s="18"/>
    </row>
    <row r="8" spans="1:24" x14ac:dyDescent="0.3">
      <c r="A8" s="21"/>
      <c r="B8" s="18"/>
      <c r="C8" s="18"/>
      <c r="D8" s="18"/>
      <c r="E8" s="18"/>
      <c r="F8" s="18"/>
      <c r="J8" s="21"/>
      <c r="K8" s="18"/>
      <c r="L8" s="18"/>
      <c r="M8" s="18"/>
      <c r="N8" s="18"/>
      <c r="O8" s="18"/>
      <c r="R8" s="11" t="s">
        <v>69</v>
      </c>
      <c r="S8" s="18"/>
      <c r="T8" s="18"/>
      <c r="U8" s="18"/>
      <c r="V8" s="18"/>
      <c r="W8" s="18"/>
      <c r="X8" s="18"/>
    </row>
    <row r="9" spans="1:24" ht="15" thickBot="1" x14ac:dyDescent="0.35">
      <c r="A9" s="22" t="s">
        <v>6</v>
      </c>
      <c r="B9" s="22" t="s">
        <v>7</v>
      </c>
      <c r="C9" s="22" t="s">
        <v>8</v>
      </c>
      <c r="D9" s="22" t="s">
        <v>9</v>
      </c>
      <c r="E9" s="22" t="s">
        <v>10</v>
      </c>
      <c r="F9" s="22" t="s">
        <v>11</v>
      </c>
      <c r="J9" s="22" t="s">
        <v>6</v>
      </c>
      <c r="K9" s="22" t="s">
        <v>7</v>
      </c>
      <c r="L9" s="22" t="s">
        <v>8</v>
      </c>
      <c r="M9" s="22" t="s">
        <v>9</v>
      </c>
      <c r="N9" s="22" t="s">
        <v>10</v>
      </c>
      <c r="O9" s="22" t="s">
        <v>11</v>
      </c>
      <c r="R9" s="28" t="s">
        <v>15</v>
      </c>
      <c r="S9" s="28" t="s">
        <v>16</v>
      </c>
      <c r="T9" s="28" t="s">
        <v>0</v>
      </c>
      <c r="U9" s="28" t="s">
        <v>17</v>
      </c>
      <c r="V9" s="28" t="s">
        <v>1</v>
      </c>
      <c r="W9" s="28" t="s">
        <v>2</v>
      </c>
      <c r="X9" s="28" t="s">
        <v>3</v>
      </c>
    </row>
    <row r="10" spans="1:24" ht="15" thickBot="1" x14ac:dyDescent="0.35">
      <c r="A10" s="23"/>
      <c r="B10" s="23"/>
      <c r="C10" s="23" t="s">
        <v>12</v>
      </c>
      <c r="D10" s="23"/>
      <c r="E10" s="23"/>
      <c r="F10" s="23">
        <v>286.61</v>
      </c>
      <c r="J10" s="23"/>
      <c r="K10" s="23"/>
      <c r="L10" s="23" t="s">
        <v>12</v>
      </c>
      <c r="M10" s="23"/>
      <c r="N10" s="23"/>
      <c r="O10" s="23">
        <v>0</v>
      </c>
      <c r="R10" s="23">
        <v>5817</v>
      </c>
      <c r="S10" s="23" t="s">
        <v>70</v>
      </c>
      <c r="T10" s="23">
        <v>-50</v>
      </c>
      <c r="U10" s="23">
        <v>50</v>
      </c>
      <c r="V10" s="23">
        <v>0</v>
      </c>
      <c r="W10" s="23">
        <v>0</v>
      </c>
      <c r="X10" s="23">
        <v>0</v>
      </c>
    </row>
    <row r="11" spans="1:24" ht="15" thickBot="1" x14ac:dyDescent="0.35">
      <c r="A11" s="23">
        <v>1232770</v>
      </c>
      <c r="B11" s="24">
        <v>45505</v>
      </c>
      <c r="C11" s="23" t="s">
        <v>37</v>
      </c>
      <c r="D11" s="23"/>
      <c r="E11" s="23">
        <v>50</v>
      </c>
      <c r="F11" s="23">
        <v>336.61</v>
      </c>
      <c r="J11" s="23"/>
      <c r="K11" s="23"/>
      <c r="L11" s="23"/>
      <c r="M11" s="27">
        <v>0</v>
      </c>
      <c r="N11" s="27">
        <v>0</v>
      </c>
      <c r="O11" s="27">
        <v>0</v>
      </c>
      <c r="R11" s="23">
        <v>5819</v>
      </c>
      <c r="S11" s="23" t="s">
        <v>71</v>
      </c>
      <c r="T11" s="23">
        <v>-50</v>
      </c>
      <c r="U11" s="23">
        <v>50</v>
      </c>
      <c r="V11" s="23">
        <v>0</v>
      </c>
      <c r="W11" s="23">
        <v>0</v>
      </c>
      <c r="X11" s="23">
        <v>0</v>
      </c>
    </row>
    <row r="12" spans="1:24" ht="15" thickBot="1" x14ac:dyDescent="0.35">
      <c r="A12" s="23">
        <v>1232773</v>
      </c>
      <c r="B12" s="24">
        <v>45505</v>
      </c>
      <c r="C12" s="23" t="s">
        <v>38</v>
      </c>
      <c r="D12" s="23">
        <v>7.51</v>
      </c>
      <c r="E12" s="23"/>
      <c r="F12" s="23">
        <v>329.1</v>
      </c>
      <c r="R12" s="23">
        <v>5820</v>
      </c>
      <c r="S12" s="23" t="s">
        <v>72</v>
      </c>
      <c r="T12" s="23">
        <v>0</v>
      </c>
      <c r="U12" s="23">
        <v>50</v>
      </c>
      <c r="V12" s="23">
        <v>50</v>
      </c>
      <c r="W12" s="23">
        <v>50</v>
      </c>
      <c r="X12" s="23">
        <v>0</v>
      </c>
    </row>
    <row r="13" spans="1:24" ht="15" thickBot="1" x14ac:dyDescent="0.35">
      <c r="A13" s="23">
        <v>1232777</v>
      </c>
      <c r="B13" s="24">
        <v>45505</v>
      </c>
      <c r="C13" s="23" t="s">
        <v>64</v>
      </c>
      <c r="D13" s="23"/>
      <c r="E13" s="23">
        <v>50</v>
      </c>
      <c r="F13" s="23">
        <v>379.1</v>
      </c>
      <c r="R13" s="23">
        <v>5821</v>
      </c>
      <c r="S13" s="23" t="s">
        <v>73</v>
      </c>
      <c r="T13" s="23">
        <v>50</v>
      </c>
      <c r="U13" s="23">
        <v>50</v>
      </c>
      <c r="V13" s="23">
        <v>100</v>
      </c>
      <c r="W13" s="23">
        <v>100</v>
      </c>
      <c r="X13" s="23">
        <v>0</v>
      </c>
    </row>
    <row r="14" spans="1:24" ht="15" thickBot="1" x14ac:dyDescent="0.35">
      <c r="A14" s="23">
        <v>1232780</v>
      </c>
      <c r="B14" s="24">
        <v>45505</v>
      </c>
      <c r="C14" s="23" t="s">
        <v>65</v>
      </c>
      <c r="D14" s="23">
        <v>7.51</v>
      </c>
      <c r="E14" s="23"/>
      <c r="F14" s="23">
        <v>371.59</v>
      </c>
      <c r="R14" s="23">
        <v>5822</v>
      </c>
      <c r="S14" s="23" t="s">
        <v>74</v>
      </c>
      <c r="T14" s="23">
        <v>-50</v>
      </c>
      <c r="U14" s="23">
        <v>50</v>
      </c>
      <c r="V14" s="23">
        <v>0</v>
      </c>
      <c r="W14" s="23">
        <v>0</v>
      </c>
      <c r="X14" s="23">
        <v>0</v>
      </c>
    </row>
    <row r="15" spans="1:24" ht="15" thickBot="1" x14ac:dyDescent="0.35">
      <c r="A15" s="23">
        <v>1249515</v>
      </c>
      <c r="B15" s="24">
        <v>45523</v>
      </c>
      <c r="C15" s="23" t="s">
        <v>88</v>
      </c>
      <c r="D15" s="23"/>
      <c r="E15" s="23">
        <v>50</v>
      </c>
      <c r="F15" s="23">
        <v>421.59</v>
      </c>
      <c r="R15" s="23">
        <v>5823</v>
      </c>
      <c r="S15" s="23" t="s">
        <v>75</v>
      </c>
      <c r="T15" s="23">
        <v>0</v>
      </c>
      <c r="U15" s="23">
        <v>50</v>
      </c>
      <c r="V15" s="23">
        <v>50</v>
      </c>
      <c r="W15" s="23">
        <v>0</v>
      </c>
      <c r="X15" s="23">
        <v>50</v>
      </c>
    </row>
    <row r="16" spans="1:24" ht="15" thickBot="1" x14ac:dyDescent="0.35">
      <c r="A16" s="23">
        <v>1249518</v>
      </c>
      <c r="B16" s="24">
        <v>45523</v>
      </c>
      <c r="C16" s="23" t="s">
        <v>89</v>
      </c>
      <c r="D16" s="23">
        <v>7.51</v>
      </c>
      <c r="E16" s="23"/>
      <c r="F16" s="23">
        <v>414.08</v>
      </c>
      <c r="R16" s="23">
        <v>5824</v>
      </c>
      <c r="S16" s="23" t="s">
        <v>76</v>
      </c>
      <c r="T16" s="23">
        <v>0</v>
      </c>
      <c r="U16" s="23">
        <v>50</v>
      </c>
      <c r="V16" s="23">
        <v>50</v>
      </c>
      <c r="W16" s="23">
        <v>50</v>
      </c>
      <c r="X16" s="23">
        <v>0</v>
      </c>
    </row>
    <row r="17" spans="1:24" ht="15" thickBot="1" x14ac:dyDescent="0.35">
      <c r="A17" s="25">
        <v>1250603</v>
      </c>
      <c r="B17" s="26">
        <v>45525</v>
      </c>
      <c r="C17" s="25" t="s">
        <v>90</v>
      </c>
      <c r="D17" s="25"/>
      <c r="E17" s="25">
        <v>50</v>
      </c>
      <c r="F17" s="25">
        <v>464.08</v>
      </c>
      <c r="R17" s="23">
        <v>5825</v>
      </c>
      <c r="S17" s="23" t="s">
        <v>77</v>
      </c>
      <c r="T17" s="23">
        <v>0</v>
      </c>
      <c r="U17" s="23">
        <v>50</v>
      </c>
      <c r="V17" s="23">
        <v>50</v>
      </c>
      <c r="W17" s="23">
        <v>50</v>
      </c>
      <c r="X17" s="23">
        <v>0</v>
      </c>
    </row>
    <row r="18" spans="1:24" ht="15" thickBot="1" x14ac:dyDescent="0.35">
      <c r="A18" s="23">
        <v>1250606</v>
      </c>
      <c r="B18" s="24">
        <v>45525</v>
      </c>
      <c r="C18" s="23" t="s">
        <v>91</v>
      </c>
      <c r="D18" s="23">
        <v>7.51</v>
      </c>
      <c r="E18" s="23"/>
      <c r="F18" s="23">
        <v>456.57</v>
      </c>
      <c r="R18" s="23">
        <v>5826</v>
      </c>
      <c r="S18" s="23" t="s">
        <v>78</v>
      </c>
      <c r="T18" s="23">
        <v>50</v>
      </c>
      <c r="U18" s="23">
        <v>50</v>
      </c>
      <c r="V18" s="23">
        <v>100</v>
      </c>
      <c r="W18" s="23">
        <v>50</v>
      </c>
      <c r="X18" s="23">
        <v>50</v>
      </c>
    </row>
    <row r="19" spans="1:24" ht="15" thickBot="1" x14ac:dyDescent="0.35">
      <c r="A19" s="23">
        <v>1253005</v>
      </c>
      <c r="B19" s="24">
        <v>45532</v>
      </c>
      <c r="C19" s="23" t="s">
        <v>92</v>
      </c>
      <c r="D19" s="23"/>
      <c r="E19" s="23">
        <v>100</v>
      </c>
      <c r="F19" s="23">
        <v>556.57000000000005</v>
      </c>
      <c r="R19" s="23">
        <v>5827</v>
      </c>
      <c r="S19" s="23" t="s">
        <v>79</v>
      </c>
      <c r="T19" s="23">
        <v>-50</v>
      </c>
      <c r="U19" s="23">
        <v>50</v>
      </c>
      <c r="V19" s="23">
        <v>0</v>
      </c>
      <c r="W19" s="23">
        <v>0</v>
      </c>
      <c r="X19" s="23">
        <v>0</v>
      </c>
    </row>
    <row r="20" spans="1:24" ht="15" thickBot="1" x14ac:dyDescent="0.35">
      <c r="A20" s="23">
        <v>1253008</v>
      </c>
      <c r="B20" s="24">
        <v>45532</v>
      </c>
      <c r="C20" s="23" t="s">
        <v>93</v>
      </c>
      <c r="D20" s="23">
        <v>15.01</v>
      </c>
      <c r="E20" s="23"/>
      <c r="F20" s="23">
        <v>541.55999999999995</v>
      </c>
      <c r="R20" s="23">
        <v>5828</v>
      </c>
      <c r="S20" s="23" t="s">
        <v>80</v>
      </c>
      <c r="T20" s="23">
        <v>-50</v>
      </c>
      <c r="U20" s="23">
        <v>50</v>
      </c>
      <c r="V20" s="23">
        <v>0</v>
      </c>
      <c r="W20" s="23">
        <v>0</v>
      </c>
      <c r="X20" s="23">
        <v>0</v>
      </c>
    </row>
    <row r="21" spans="1:24" ht="15" thickBot="1" x14ac:dyDescent="0.35">
      <c r="A21" s="23">
        <v>1263906</v>
      </c>
      <c r="B21" s="24">
        <v>45534</v>
      </c>
      <c r="C21" s="23" t="s">
        <v>59</v>
      </c>
      <c r="D21" s="23">
        <v>533</v>
      </c>
      <c r="E21" s="23"/>
      <c r="F21" s="23">
        <v>58.56</v>
      </c>
      <c r="G21">
        <f>F20-D21</f>
        <v>8.5599999999999454</v>
      </c>
      <c r="R21" s="23">
        <v>5829</v>
      </c>
      <c r="S21" s="23" t="s">
        <v>81</v>
      </c>
      <c r="T21" s="23">
        <v>-50</v>
      </c>
      <c r="U21" s="23">
        <v>50</v>
      </c>
      <c r="V21" s="23">
        <v>0</v>
      </c>
      <c r="W21" s="23">
        <v>0</v>
      </c>
      <c r="X21" s="23">
        <v>0</v>
      </c>
    </row>
    <row r="22" spans="1:24" ht="15" thickBot="1" x14ac:dyDescent="0.35">
      <c r="A22" s="23"/>
      <c r="B22" s="23"/>
      <c r="C22" s="23"/>
      <c r="D22" s="27">
        <v>578.04999999999995</v>
      </c>
      <c r="E22" s="27">
        <v>300</v>
      </c>
      <c r="F22" s="27">
        <v>58.56</v>
      </c>
      <c r="R22" s="25">
        <v>5830</v>
      </c>
      <c r="S22" s="25" t="s">
        <v>82</v>
      </c>
      <c r="T22" s="25">
        <v>-100</v>
      </c>
      <c r="U22" s="25">
        <v>50</v>
      </c>
      <c r="V22" s="25">
        <v>-50</v>
      </c>
      <c r="W22" s="25">
        <v>0</v>
      </c>
      <c r="X22" s="25">
        <v>-50</v>
      </c>
    </row>
    <row r="23" spans="1:24" ht="15" thickBot="1" x14ac:dyDescent="0.35">
      <c r="R23" s="23">
        <v>5831</v>
      </c>
      <c r="S23" s="23" t="s">
        <v>83</v>
      </c>
      <c r="T23" s="23">
        <v>-50</v>
      </c>
      <c r="U23" s="23">
        <v>50</v>
      </c>
      <c r="V23" s="23">
        <v>0</v>
      </c>
      <c r="W23" s="23">
        <v>0</v>
      </c>
      <c r="X23" s="23">
        <v>0</v>
      </c>
    </row>
    <row r="24" spans="1:24" ht="15" thickBot="1" x14ac:dyDescent="0.35">
      <c r="R24" s="23">
        <v>5832</v>
      </c>
      <c r="S24" s="23" t="s">
        <v>84</v>
      </c>
      <c r="T24" s="23">
        <v>-50</v>
      </c>
      <c r="U24" s="23">
        <v>50</v>
      </c>
      <c r="V24" s="23">
        <v>0</v>
      </c>
      <c r="W24" s="23">
        <v>0</v>
      </c>
      <c r="X24" s="23">
        <v>0</v>
      </c>
    </row>
    <row r="25" spans="1:24" ht="15" thickBot="1" x14ac:dyDescent="0.35">
      <c r="R25" s="23">
        <v>5833</v>
      </c>
      <c r="S25" s="23" t="s">
        <v>85</v>
      </c>
      <c r="T25" s="23">
        <v>-50</v>
      </c>
      <c r="U25" s="23">
        <v>50</v>
      </c>
      <c r="V25" s="23">
        <v>0</v>
      </c>
      <c r="W25" s="23">
        <v>0</v>
      </c>
      <c r="X25" s="23">
        <v>0</v>
      </c>
    </row>
    <row r="26" spans="1:24" ht="15" thickBot="1" x14ac:dyDescent="0.35">
      <c r="R26" s="23">
        <v>5834</v>
      </c>
      <c r="S26" s="23" t="s">
        <v>86</v>
      </c>
      <c r="T26" s="23">
        <v>-50</v>
      </c>
      <c r="U26" s="23">
        <v>50</v>
      </c>
      <c r="V26" s="23">
        <v>0</v>
      </c>
      <c r="W26" s="23">
        <v>0</v>
      </c>
      <c r="X26" s="23">
        <v>0</v>
      </c>
    </row>
    <row r="27" spans="1:24" x14ac:dyDescent="0.3">
      <c r="R27" s="23"/>
      <c r="S27" s="23"/>
      <c r="T27" s="29">
        <v>-500</v>
      </c>
      <c r="U27" s="29">
        <v>850</v>
      </c>
      <c r="V27" s="29">
        <v>350</v>
      </c>
      <c r="W27" s="29">
        <v>300</v>
      </c>
      <c r="X27" s="29">
        <v>50</v>
      </c>
    </row>
    <row r="28" spans="1:24" x14ac:dyDescent="0.3">
      <c r="X28">
        <f>X22</f>
        <v>-50</v>
      </c>
    </row>
    <row r="29" spans="1:24" x14ac:dyDescent="0.3">
      <c r="X29">
        <f>X28*-1</f>
        <v>50</v>
      </c>
    </row>
    <row r="30" spans="1:24" x14ac:dyDescent="0.3">
      <c r="X30">
        <f>X27+X29</f>
        <v>100</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Y44"/>
  <sheetViews>
    <sheetView topLeftCell="A29" workbookViewId="0">
      <selection activeCell="A44" sqref="A44"/>
    </sheetView>
  </sheetViews>
  <sheetFormatPr defaultRowHeight="14.4" x14ac:dyDescent="0.3"/>
  <cols>
    <col min="1" max="1" width="9.5546875" bestFit="1" customWidth="1"/>
    <col min="2" max="2" width="12.5546875" bestFit="1" customWidth="1"/>
    <col min="3" max="3" width="41.44140625" customWidth="1"/>
    <col min="4" max="6" width="9" bestFit="1" customWidth="1"/>
  </cols>
  <sheetData>
    <row r="1" spans="1:25" x14ac:dyDescent="0.3">
      <c r="A1" s="30" t="s">
        <v>4</v>
      </c>
      <c r="B1" s="31"/>
      <c r="C1" s="31"/>
      <c r="D1" s="31"/>
      <c r="E1" s="31"/>
      <c r="F1" s="31"/>
      <c r="J1" s="17" t="s">
        <v>4</v>
      </c>
      <c r="K1" s="18"/>
      <c r="L1" s="18"/>
      <c r="M1" s="18"/>
      <c r="N1" s="18"/>
      <c r="O1" s="18"/>
      <c r="S1" s="30" t="s">
        <v>13</v>
      </c>
      <c r="T1" s="31"/>
      <c r="U1" s="31"/>
      <c r="V1" s="31"/>
      <c r="W1" s="31"/>
      <c r="X1" s="31"/>
      <c r="Y1" s="31"/>
    </row>
    <row r="2" spans="1:25" x14ac:dyDescent="0.3">
      <c r="A2" s="31"/>
      <c r="B2" s="31"/>
      <c r="C2" s="31"/>
      <c r="D2" s="31"/>
      <c r="E2" s="31"/>
      <c r="F2" s="31"/>
      <c r="J2" s="18"/>
      <c r="K2" s="18"/>
      <c r="L2" s="18"/>
      <c r="M2" s="18"/>
      <c r="N2" s="18"/>
      <c r="O2" s="18"/>
      <c r="S2" s="40" t="s">
        <v>67</v>
      </c>
      <c r="T2" s="31"/>
      <c r="U2" s="31"/>
      <c r="V2" s="31"/>
      <c r="W2" s="31"/>
      <c r="X2" s="31"/>
      <c r="Y2" s="31"/>
    </row>
    <row r="3" spans="1:25" x14ac:dyDescent="0.3">
      <c r="A3" s="32" t="s">
        <v>118</v>
      </c>
      <c r="B3" s="31"/>
      <c r="C3" s="31"/>
      <c r="D3" s="31"/>
      <c r="E3" s="31"/>
      <c r="F3" s="31"/>
      <c r="J3" s="19" t="s">
        <v>94</v>
      </c>
      <c r="K3" s="18"/>
      <c r="L3" s="18"/>
      <c r="M3" s="18"/>
      <c r="N3" s="18"/>
      <c r="O3" s="18"/>
      <c r="S3" s="40" t="s">
        <v>244</v>
      </c>
      <c r="T3" s="31"/>
      <c r="U3" s="31"/>
      <c r="V3" s="31"/>
      <c r="W3" s="31"/>
      <c r="X3" s="31"/>
      <c r="Y3" s="31"/>
    </row>
    <row r="4" spans="1:25" x14ac:dyDescent="0.3">
      <c r="A4" s="31"/>
      <c r="B4" s="31"/>
      <c r="C4" s="31"/>
      <c r="D4" s="31"/>
      <c r="E4" s="31"/>
      <c r="F4" s="31"/>
      <c r="J4" s="18"/>
      <c r="K4" s="18"/>
      <c r="L4" s="18"/>
      <c r="M4" s="18"/>
      <c r="N4" s="18"/>
      <c r="O4" s="18"/>
      <c r="S4" s="40" t="s">
        <v>14</v>
      </c>
      <c r="T4" s="31"/>
      <c r="U4" s="31"/>
      <c r="V4" s="31"/>
      <c r="W4" s="31"/>
      <c r="X4" s="31"/>
      <c r="Y4" s="31"/>
    </row>
    <row r="5" spans="1:25" x14ac:dyDescent="0.3">
      <c r="A5" s="33" t="s">
        <v>119</v>
      </c>
      <c r="B5" s="31"/>
      <c r="C5" s="31"/>
      <c r="D5" s="31"/>
      <c r="E5" s="31"/>
      <c r="F5" s="31"/>
      <c r="J5" s="20" t="s">
        <v>98</v>
      </c>
      <c r="K5" s="18"/>
      <c r="L5" s="18"/>
      <c r="M5" s="18"/>
      <c r="N5" s="18"/>
      <c r="O5" s="18"/>
      <c r="S5" s="31"/>
      <c r="T5" s="31"/>
      <c r="U5" s="31"/>
      <c r="V5" s="31"/>
      <c r="W5" s="31"/>
      <c r="X5" s="31"/>
      <c r="Y5" s="31"/>
    </row>
    <row r="6" spans="1:25" x14ac:dyDescent="0.3">
      <c r="A6" s="33" t="s">
        <v>120</v>
      </c>
      <c r="B6" s="31"/>
      <c r="C6" s="31"/>
      <c r="D6" s="31"/>
      <c r="E6" s="31"/>
      <c r="F6" s="31"/>
      <c r="J6" s="20" t="s">
        <v>99</v>
      </c>
      <c r="K6" s="18"/>
      <c r="L6" s="18"/>
      <c r="M6" s="18"/>
      <c r="N6" s="18"/>
      <c r="O6" s="18"/>
      <c r="S6" s="31"/>
      <c r="T6" s="31"/>
      <c r="U6" s="31"/>
      <c r="V6" s="31"/>
      <c r="W6" s="31"/>
      <c r="X6" s="31"/>
      <c r="Y6" s="31"/>
    </row>
    <row r="7" spans="1:25" x14ac:dyDescent="0.3">
      <c r="A7" s="33" t="s">
        <v>243</v>
      </c>
      <c r="B7" s="31"/>
      <c r="C7" s="31"/>
      <c r="D7" s="31"/>
      <c r="E7" s="31"/>
      <c r="F7" s="31"/>
      <c r="J7" s="20" t="s">
        <v>242</v>
      </c>
      <c r="K7" s="18"/>
      <c r="L7" s="18"/>
      <c r="M7" s="18"/>
      <c r="N7" s="18"/>
      <c r="O7" s="18"/>
      <c r="S7" s="31"/>
      <c r="T7" s="31"/>
      <c r="U7" s="31"/>
      <c r="V7" s="31"/>
      <c r="W7" s="31"/>
      <c r="X7" s="31"/>
      <c r="Y7" s="31"/>
    </row>
    <row r="8" spans="1:25" x14ac:dyDescent="0.3">
      <c r="A8" s="34"/>
      <c r="B8" s="31"/>
      <c r="C8" s="31"/>
      <c r="D8" s="31"/>
      <c r="E8" s="31"/>
      <c r="F8" s="31"/>
      <c r="J8" s="21"/>
      <c r="K8" s="18"/>
      <c r="L8" s="18"/>
      <c r="M8" s="18"/>
      <c r="N8" s="18"/>
      <c r="O8" s="18"/>
      <c r="S8" s="40" t="s">
        <v>69</v>
      </c>
      <c r="T8" s="31"/>
      <c r="U8" s="31"/>
      <c r="V8" s="31"/>
      <c r="W8" s="31"/>
      <c r="X8" s="31"/>
      <c r="Y8" s="31"/>
    </row>
    <row r="9" spans="1:25" ht="15" thickBot="1" x14ac:dyDescent="0.35">
      <c r="A9" s="5" t="s">
        <v>6</v>
      </c>
      <c r="B9" s="5" t="s">
        <v>7</v>
      </c>
      <c r="C9" s="5" t="s">
        <v>8</v>
      </c>
      <c r="D9" s="5" t="s">
        <v>9</v>
      </c>
      <c r="E9" s="5" t="s">
        <v>10</v>
      </c>
      <c r="F9" s="5" t="s">
        <v>11</v>
      </c>
      <c r="J9" s="22" t="s">
        <v>6</v>
      </c>
      <c r="K9" s="22" t="s">
        <v>7</v>
      </c>
      <c r="L9" s="22" t="s">
        <v>8</v>
      </c>
      <c r="M9" s="22" t="s">
        <v>9</v>
      </c>
      <c r="N9" s="22" t="s">
        <v>10</v>
      </c>
      <c r="O9" s="22" t="s">
        <v>11</v>
      </c>
      <c r="P9" s="12"/>
      <c r="S9" s="12" t="s">
        <v>15</v>
      </c>
      <c r="T9" s="12" t="s">
        <v>16</v>
      </c>
      <c r="U9" s="12" t="s">
        <v>0</v>
      </c>
      <c r="V9" s="12" t="s">
        <v>17</v>
      </c>
      <c r="W9" s="12" t="s">
        <v>1</v>
      </c>
      <c r="X9" s="12" t="s">
        <v>2</v>
      </c>
      <c r="Y9" s="12" t="s">
        <v>3</v>
      </c>
    </row>
    <row r="10" spans="1:25" ht="15" thickBot="1" x14ac:dyDescent="0.35">
      <c r="A10" s="35"/>
      <c r="B10" s="35"/>
      <c r="C10" s="35" t="s">
        <v>12</v>
      </c>
      <c r="D10" s="35"/>
      <c r="E10" s="35"/>
      <c r="F10" s="35">
        <v>-291</v>
      </c>
      <c r="G10" s="16"/>
      <c r="J10" s="23"/>
      <c r="K10" s="23"/>
      <c r="L10" s="23" t="s">
        <v>12</v>
      </c>
      <c r="M10" s="23"/>
      <c r="N10" s="23"/>
      <c r="O10" s="23">
        <v>0</v>
      </c>
      <c r="P10" s="6"/>
      <c r="S10" s="35">
        <v>5817</v>
      </c>
      <c r="T10" s="35" t="s">
        <v>70</v>
      </c>
      <c r="U10" s="35">
        <v>-50</v>
      </c>
      <c r="V10" s="35">
        <v>50</v>
      </c>
      <c r="W10" s="35">
        <v>0</v>
      </c>
      <c r="X10" s="35">
        <v>0</v>
      </c>
      <c r="Y10" s="35">
        <v>0</v>
      </c>
    </row>
    <row r="11" spans="1:25" ht="15" thickBot="1" x14ac:dyDescent="0.35">
      <c r="A11" s="35">
        <v>1391128</v>
      </c>
      <c r="B11" s="36">
        <v>45839</v>
      </c>
      <c r="C11" s="35" t="s">
        <v>213</v>
      </c>
      <c r="D11" s="35"/>
      <c r="E11" s="35">
        <v>50</v>
      </c>
      <c r="F11" s="35">
        <v>-241</v>
      </c>
      <c r="G11" s="16"/>
      <c r="J11" s="23"/>
      <c r="K11" s="23"/>
      <c r="L11" s="23"/>
      <c r="M11" s="27">
        <v>0</v>
      </c>
      <c r="N11" s="27">
        <v>0</v>
      </c>
      <c r="O11" s="27">
        <v>0</v>
      </c>
      <c r="P11" s="6"/>
      <c r="S11" s="35">
        <v>5819</v>
      </c>
      <c r="T11" s="35" t="s">
        <v>71</v>
      </c>
      <c r="U11" s="35">
        <v>0</v>
      </c>
      <c r="V11" s="35">
        <v>50</v>
      </c>
      <c r="W11" s="35">
        <v>50</v>
      </c>
      <c r="X11" s="35">
        <v>50</v>
      </c>
      <c r="Y11" s="35">
        <v>0</v>
      </c>
    </row>
    <row r="12" spans="1:25" ht="15" thickBot="1" x14ac:dyDescent="0.35">
      <c r="A12" s="35">
        <v>1391131</v>
      </c>
      <c r="B12" s="36">
        <v>45839</v>
      </c>
      <c r="C12" s="35" t="s">
        <v>214</v>
      </c>
      <c r="D12" s="35">
        <v>7.51</v>
      </c>
      <c r="E12" s="35"/>
      <c r="F12" s="35">
        <v>-248.51</v>
      </c>
      <c r="G12" s="16"/>
      <c r="J12" s="6"/>
      <c r="K12" s="6"/>
      <c r="L12" s="6"/>
      <c r="M12" s="6"/>
      <c r="N12" s="6"/>
      <c r="O12" s="6"/>
      <c r="P12" s="6"/>
      <c r="S12" s="35">
        <v>5820</v>
      </c>
      <c r="T12" s="42" t="s">
        <v>72</v>
      </c>
      <c r="U12" s="35">
        <v>0</v>
      </c>
      <c r="V12" s="35">
        <v>190</v>
      </c>
      <c r="W12" s="35">
        <v>190</v>
      </c>
      <c r="X12" s="35">
        <v>240</v>
      </c>
      <c r="Y12" s="35">
        <v>-50</v>
      </c>
    </row>
    <row r="13" spans="1:25" ht="15" thickBot="1" x14ac:dyDescent="0.35">
      <c r="A13" s="35">
        <v>1393636</v>
      </c>
      <c r="B13" s="36">
        <v>45841</v>
      </c>
      <c r="C13" s="35" t="s">
        <v>215</v>
      </c>
      <c r="D13" s="35"/>
      <c r="E13" s="35">
        <v>50</v>
      </c>
      <c r="F13" s="35">
        <v>-198.51</v>
      </c>
      <c r="G13" s="16"/>
      <c r="J13" s="6"/>
      <c r="K13" s="6"/>
      <c r="L13" s="6"/>
      <c r="M13" s="6"/>
      <c r="N13" s="6"/>
      <c r="O13" s="6"/>
      <c r="P13" s="6"/>
      <c r="S13" s="35">
        <v>5821</v>
      </c>
      <c r="T13" s="35" t="s">
        <v>73</v>
      </c>
      <c r="U13" s="35">
        <v>20</v>
      </c>
      <c r="V13" s="35">
        <v>50</v>
      </c>
      <c r="W13" s="35">
        <v>70</v>
      </c>
      <c r="X13" s="35">
        <v>50</v>
      </c>
      <c r="Y13" s="35">
        <v>20</v>
      </c>
    </row>
    <row r="14" spans="1:25" ht="15" thickBot="1" x14ac:dyDescent="0.35">
      <c r="A14" s="35">
        <v>1393639</v>
      </c>
      <c r="B14" s="36">
        <v>45841</v>
      </c>
      <c r="C14" s="35" t="s">
        <v>216</v>
      </c>
      <c r="D14" s="35">
        <v>7.51</v>
      </c>
      <c r="E14" s="35"/>
      <c r="F14" s="35">
        <v>-206.02</v>
      </c>
      <c r="J14" s="6"/>
      <c r="K14" s="6"/>
      <c r="L14" s="6"/>
      <c r="M14" s="6"/>
      <c r="N14" s="6"/>
      <c r="O14" s="6"/>
      <c r="P14" s="6"/>
      <c r="S14" s="35">
        <v>5822</v>
      </c>
      <c r="T14" s="35" t="s">
        <v>74</v>
      </c>
      <c r="U14" s="35">
        <v>0</v>
      </c>
      <c r="V14" s="35">
        <v>50</v>
      </c>
      <c r="W14" s="35">
        <v>50</v>
      </c>
      <c r="X14" s="35">
        <v>0</v>
      </c>
      <c r="Y14" s="35">
        <v>50</v>
      </c>
    </row>
    <row r="15" spans="1:25" ht="15" thickBot="1" x14ac:dyDescent="0.35">
      <c r="A15" s="35">
        <v>1393643</v>
      </c>
      <c r="B15" s="36">
        <v>45841</v>
      </c>
      <c r="C15" s="35" t="s">
        <v>217</v>
      </c>
      <c r="D15" s="35"/>
      <c r="E15" s="35">
        <v>50</v>
      </c>
      <c r="F15" s="35">
        <v>-156.02000000000001</v>
      </c>
      <c r="J15" s="6"/>
      <c r="K15" s="6"/>
      <c r="L15" s="6"/>
      <c r="M15" s="6"/>
      <c r="N15" s="6"/>
      <c r="O15" s="6"/>
      <c r="P15" s="6"/>
      <c r="S15" s="35">
        <v>5823</v>
      </c>
      <c r="T15" s="35" t="s">
        <v>75</v>
      </c>
      <c r="U15" s="35">
        <v>68</v>
      </c>
      <c r="V15" s="35">
        <v>50</v>
      </c>
      <c r="W15" s="35">
        <v>118</v>
      </c>
      <c r="X15" s="35">
        <v>58</v>
      </c>
      <c r="Y15" s="35">
        <v>60</v>
      </c>
    </row>
    <row r="16" spans="1:25" ht="15" thickBot="1" x14ac:dyDescent="0.35">
      <c r="A16" s="35">
        <v>1393646</v>
      </c>
      <c r="B16" s="36">
        <v>45841</v>
      </c>
      <c r="C16" s="35" t="s">
        <v>218</v>
      </c>
      <c r="D16" s="35">
        <v>7.51</v>
      </c>
      <c r="E16" s="35"/>
      <c r="F16" s="35">
        <v>-163.53</v>
      </c>
      <c r="J16" s="6"/>
      <c r="K16" s="6"/>
      <c r="L16" s="6"/>
      <c r="M16" s="6"/>
      <c r="N16" s="6"/>
      <c r="O16" s="6"/>
      <c r="P16" s="6"/>
      <c r="S16" s="35">
        <v>5824</v>
      </c>
      <c r="T16" s="35" t="s">
        <v>76</v>
      </c>
      <c r="U16" s="35">
        <v>0</v>
      </c>
      <c r="V16" s="35">
        <v>50</v>
      </c>
      <c r="W16" s="35">
        <v>50</v>
      </c>
      <c r="X16" s="35">
        <v>50</v>
      </c>
      <c r="Y16" s="35">
        <v>0</v>
      </c>
    </row>
    <row r="17" spans="1:25" ht="15" thickBot="1" x14ac:dyDescent="0.35">
      <c r="A17" s="35">
        <v>1393661</v>
      </c>
      <c r="B17" s="36">
        <v>45841</v>
      </c>
      <c r="C17" s="35" t="s">
        <v>219</v>
      </c>
      <c r="D17" s="35"/>
      <c r="E17" s="35">
        <v>50</v>
      </c>
      <c r="F17" s="35">
        <v>-113.53</v>
      </c>
      <c r="J17" s="6"/>
      <c r="K17" s="6"/>
      <c r="L17" s="6"/>
      <c r="M17" s="6"/>
      <c r="N17" s="6"/>
      <c r="O17" s="6"/>
      <c r="P17" s="6"/>
      <c r="S17" s="35">
        <v>5825</v>
      </c>
      <c r="T17" s="35" t="s">
        <v>77</v>
      </c>
      <c r="U17" s="35">
        <v>0</v>
      </c>
      <c r="V17" s="35">
        <v>50</v>
      </c>
      <c r="W17" s="35">
        <v>50</v>
      </c>
      <c r="X17" s="35">
        <v>0</v>
      </c>
      <c r="Y17" s="35">
        <v>50</v>
      </c>
    </row>
    <row r="18" spans="1:25" ht="15" thickBot="1" x14ac:dyDescent="0.35">
      <c r="A18" s="35">
        <v>1393664</v>
      </c>
      <c r="B18" s="36">
        <v>45841</v>
      </c>
      <c r="C18" s="35" t="s">
        <v>220</v>
      </c>
      <c r="D18" s="35">
        <v>7.51</v>
      </c>
      <c r="E18" s="35"/>
      <c r="F18" s="35">
        <v>-121.04</v>
      </c>
      <c r="J18" s="6"/>
      <c r="K18" s="6"/>
      <c r="L18" s="6"/>
      <c r="M18" s="6"/>
      <c r="N18" s="6"/>
      <c r="O18" s="6"/>
      <c r="P18" s="6"/>
      <c r="S18" s="38">
        <v>5826</v>
      </c>
      <c r="T18" s="38" t="s">
        <v>78</v>
      </c>
      <c r="U18" s="38">
        <v>50</v>
      </c>
      <c r="V18" s="38">
        <v>50</v>
      </c>
      <c r="W18" s="38">
        <v>100</v>
      </c>
      <c r="X18" s="38">
        <v>50</v>
      </c>
      <c r="Y18" s="38">
        <v>50</v>
      </c>
    </row>
    <row r="19" spans="1:25" ht="15" thickBot="1" x14ac:dyDescent="0.35">
      <c r="A19" s="35">
        <v>1393668</v>
      </c>
      <c r="B19" s="36">
        <v>45841</v>
      </c>
      <c r="C19" s="35" t="s">
        <v>221</v>
      </c>
      <c r="D19" s="35"/>
      <c r="E19" s="35">
        <v>50</v>
      </c>
      <c r="F19" s="35">
        <v>-71.040000000000006</v>
      </c>
      <c r="J19" s="6"/>
      <c r="K19" s="6"/>
      <c r="L19" s="6"/>
      <c r="M19" s="6"/>
      <c r="N19" s="6"/>
      <c r="O19" s="6"/>
      <c r="P19" s="6"/>
      <c r="S19" s="35">
        <v>5827</v>
      </c>
      <c r="T19" s="35" t="s">
        <v>79</v>
      </c>
      <c r="U19" s="35">
        <v>50</v>
      </c>
      <c r="V19" s="35">
        <v>50</v>
      </c>
      <c r="W19" s="35">
        <v>100</v>
      </c>
      <c r="X19" s="35">
        <v>100</v>
      </c>
      <c r="Y19" s="35">
        <v>0</v>
      </c>
    </row>
    <row r="20" spans="1:25" ht="15" thickBot="1" x14ac:dyDescent="0.35">
      <c r="A20" s="35">
        <v>1393671</v>
      </c>
      <c r="B20" s="36">
        <v>45841</v>
      </c>
      <c r="C20" s="35" t="s">
        <v>222</v>
      </c>
      <c r="D20" s="35">
        <v>7.51</v>
      </c>
      <c r="E20" s="35"/>
      <c r="F20" s="35">
        <v>-78.55</v>
      </c>
      <c r="J20" s="6"/>
      <c r="K20" s="6"/>
      <c r="L20" s="6"/>
      <c r="M20" s="6"/>
      <c r="N20" s="6"/>
      <c r="O20" s="6"/>
      <c r="P20" s="6"/>
      <c r="S20" s="35">
        <v>5828</v>
      </c>
      <c r="T20" s="35" t="s">
        <v>80</v>
      </c>
      <c r="U20" s="35">
        <v>0</v>
      </c>
      <c r="V20" s="35">
        <v>50</v>
      </c>
      <c r="W20" s="35">
        <v>50</v>
      </c>
      <c r="X20" s="35">
        <v>0</v>
      </c>
      <c r="Y20" s="35">
        <v>50</v>
      </c>
    </row>
    <row r="21" spans="1:25" ht="15" thickBot="1" x14ac:dyDescent="0.35">
      <c r="A21" s="35">
        <v>1393675</v>
      </c>
      <c r="B21" s="36">
        <v>45841</v>
      </c>
      <c r="C21" s="35" t="s">
        <v>223</v>
      </c>
      <c r="D21" s="35"/>
      <c r="E21" s="35">
        <v>50</v>
      </c>
      <c r="F21" s="35">
        <v>-28.55</v>
      </c>
      <c r="J21" s="6"/>
      <c r="K21" s="6"/>
      <c r="L21" s="6"/>
      <c r="M21" s="6"/>
      <c r="N21" s="6"/>
      <c r="O21" s="6"/>
      <c r="P21" s="6"/>
      <c r="S21" s="35">
        <v>5829</v>
      </c>
      <c r="T21" s="35" t="s">
        <v>81</v>
      </c>
      <c r="U21" s="35">
        <v>-50</v>
      </c>
      <c r="V21" s="35">
        <v>50</v>
      </c>
      <c r="W21" s="35">
        <v>0</v>
      </c>
      <c r="X21" s="35">
        <v>0</v>
      </c>
      <c r="Y21" s="35">
        <v>0</v>
      </c>
    </row>
    <row r="22" spans="1:25" ht="15" thickBot="1" x14ac:dyDescent="0.35">
      <c r="A22" s="35">
        <v>1393678</v>
      </c>
      <c r="B22" s="36">
        <v>45841</v>
      </c>
      <c r="C22" s="35" t="s">
        <v>224</v>
      </c>
      <c r="D22" s="35">
        <v>7.51</v>
      </c>
      <c r="E22" s="35"/>
      <c r="F22" s="35">
        <v>-36.06</v>
      </c>
      <c r="J22" s="8"/>
      <c r="K22" s="8"/>
      <c r="L22" s="8"/>
      <c r="M22" s="8"/>
      <c r="N22" s="8"/>
      <c r="O22" s="8"/>
      <c r="P22" s="8"/>
      <c r="S22" s="35">
        <v>5830</v>
      </c>
      <c r="T22" s="35" t="s">
        <v>82</v>
      </c>
      <c r="U22" s="35">
        <v>0</v>
      </c>
      <c r="V22" s="35">
        <v>50</v>
      </c>
      <c r="W22" s="35">
        <v>50</v>
      </c>
      <c r="X22" s="35">
        <v>50</v>
      </c>
      <c r="Y22" s="35">
        <v>0</v>
      </c>
    </row>
    <row r="23" spans="1:25" ht="15" thickBot="1" x14ac:dyDescent="0.35">
      <c r="A23" s="35">
        <v>1393682</v>
      </c>
      <c r="B23" s="36">
        <v>45841</v>
      </c>
      <c r="C23" s="35" t="s">
        <v>225</v>
      </c>
      <c r="D23" s="35"/>
      <c r="E23" s="35">
        <v>58</v>
      </c>
      <c r="F23" s="35">
        <v>21.94</v>
      </c>
      <c r="J23" s="6"/>
      <c r="K23" s="6"/>
      <c r="L23" s="6"/>
      <c r="M23" s="6"/>
      <c r="N23" s="6"/>
      <c r="O23" s="6"/>
      <c r="P23" s="6"/>
      <c r="S23" s="35">
        <v>5831</v>
      </c>
      <c r="T23" s="35" t="s">
        <v>83</v>
      </c>
      <c r="U23" s="35">
        <v>0</v>
      </c>
      <c r="V23" s="35">
        <v>50</v>
      </c>
      <c r="W23" s="35">
        <v>50</v>
      </c>
      <c r="X23" s="35">
        <v>50</v>
      </c>
      <c r="Y23" s="35">
        <v>0</v>
      </c>
    </row>
    <row r="24" spans="1:25" ht="15" thickBot="1" x14ac:dyDescent="0.35">
      <c r="A24" s="35">
        <v>1393685</v>
      </c>
      <c r="B24" s="36">
        <v>45841</v>
      </c>
      <c r="C24" s="35" t="s">
        <v>226</v>
      </c>
      <c r="D24" s="35">
        <v>8.7100000000000009</v>
      </c>
      <c r="E24" s="35"/>
      <c r="F24" s="35">
        <v>13.23</v>
      </c>
      <c r="J24" s="6"/>
      <c r="K24" s="6"/>
      <c r="L24" s="6"/>
      <c r="M24" s="6"/>
      <c r="N24" s="6"/>
      <c r="O24" s="6"/>
      <c r="P24" s="6"/>
      <c r="S24" s="35">
        <v>5832</v>
      </c>
      <c r="T24" s="35" t="s">
        <v>84</v>
      </c>
      <c r="U24" s="35">
        <v>0</v>
      </c>
      <c r="V24" s="35">
        <v>50</v>
      </c>
      <c r="W24" s="35">
        <v>50</v>
      </c>
      <c r="X24" s="35">
        <v>50</v>
      </c>
      <c r="Y24" s="35">
        <v>0</v>
      </c>
    </row>
    <row r="25" spans="1:25" ht="15" thickBot="1" x14ac:dyDescent="0.35">
      <c r="A25" s="35">
        <v>1393689</v>
      </c>
      <c r="B25" s="36">
        <v>45841</v>
      </c>
      <c r="C25" s="35" t="s">
        <v>227</v>
      </c>
      <c r="D25" s="35"/>
      <c r="E25" s="35">
        <v>50</v>
      </c>
      <c r="F25" s="35">
        <v>63.23</v>
      </c>
      <c r="J25" s="6"/>
      <c r="K25" s="6"/>
      <c r="L25" s="6"/>
      <c r="M25" s="6"/>
      <c r="N25" s="6"/>
      <c r="O25" s="6"/>
      <c r="P25" s="6"/>
      <c r="S25" s="35">
        <v>5833</v>
      </c>
      <c r="T25" s="35" t="s">
        <v>85</v>
      </c>
      <c r="U25" s="35">
        <v>0</v>
      </c>
      <c r="V25" s="35">
        <v>50</v>
      </c>
      <c r="W25" s="35">
        <v>50</v>
      </c>
      <c r="X25" s="35">
        <v>50</v>
      </c>
      <c r="Y25" s="35">
        <v>0</v>
      </c>
    </row>
    <row r="26" spans="1:25" ht="15" thickBot="1" x14ac:dyDescent="0.35">
      <c r="A26" s="35">
        <v>1393692</v>
      </c>
      <c r="B26" s="36">
        <v>45841</v>
      </c>
      <c r="C26" s="35" t="s">
        <v>228</v>
      </c>
      <c r="D26" s="35">
        <v>7.51</v>
      </c>
      <c r="E26" s="35"/>
      <c r="F26" s="35">
        <v>55.72</v>
      </c>
      <c r="J26" s="6"/>
      <c r="K26" s="6"/>
      <c r="L26" s="6"/>
      <c r="M26" s="6"/>
      <c r="N26" s="6"/>
      <c r="O26" s="6"/>
      <c r="P26" s="6"/>
      <c r="S26" s="35">
        <v>5834</v>
      </c>
      <c r="T26" s="35" t="s">
        <v>86</v>
      </c>
      <c r="U26" s="35">
        <v>0</v>
      </c>
      <c r="V26" s="35">
        <v>50</v>
      </c>
      <c r="W26" s="35">
        <v>50</v>
      </c>
      <c r="X26" s="35">
        <v>50</v>
      </c>
      <c r="Y26" s="35">
        <v>0</v>
      </c>
    </row>
    <row r="27" spans="1:25" ht="15" thickBot="1" x14ac:dyDescent="0.35">
      <c r="A27" s="35">
        <v>1393696</v>
      </c>
      <c r="B27" s="36">
        <v>45841</v>
      </c>
      <c r="C27" s="35" t="s">
        <v>229</v>
      </c>
      <c r="D27" s="35"/>
      <c r="E27" s="35">
        <v>50</v>
      </c>
      <c r="F27" s="35">
        <v>105.72</v>
      </c>
      <c r="J27" s="6"/>
      <c r="K27" s="6"/>
      <c r="L27" s="13"/>
      <c r="M27" s="13"/>
      <c r="N27" s="13"/>
      <c r="O27" s="13"/>
      <c r="P27" s="13"/>
      <c r="S27" s="35"/>
      <c r="T27" s="35"/>
      <c r="U27" s="41">
        <v>88</v>
      </c>
      <c r="V27" s="41">
        <v>990</v>
      </c>
      <c r="W27" s="41">
        <v>1078</v>
      </c>
      <c r="X27" s="41">
        <v>848</v>
      </c>
      <c r="Y27" s="41">
        <v>230</v>
      </c>
    </row>
    <row r="28" spans="1:25" ht="15" thickBot="1" x14ac:dyDescent="0.35">
      <c r="A28" s="35">
        <v>1393699</v>
      </c>
      <c r="B28" s="36">
        <v>45841</v>
      </c>
      <c r="C28" s="35" t="s">
        <v>230</v>
      </c>
      <c r="D28" s="35">
        <v>7.51</v>
      </c>
      <c r="E28" s="35"/>
      <c r="F28" s="35">
        <v>98.21</v>
      </c>
      <c r="Y28">
        <f>Y12*-1</f>
        <v>50</v>
      </c>
    </row>
    <row r="29" spans="1:25" ht="15" thickBot="1" x14ac:dyDescent="0.35">
      <c r="A29" s="35">
        <v>1393703</v>
      </c>
      <c r="B29" s="36">
        <v>45841</v>
      </c>
      <c r="C29" s="35" t="s">
        <v>231</v>
      </c>
      <c r="D29" s="35"/>
      <c r="E29" s="35">
        <v>50</v>
      </c>
      <c r="F29" s="35">
        <v>148.21</v>
      </c>
      <c r="Y29">
        <f>Y28+Y27</f>
        <v>280</v>
      </c>
    </row>
    <row r="30" spans="1:25" ht="15" thickBot="1" x14ac:dyDescent="0.35">
      <c r="A30" s="35">
        <v>1393706</v>
      </c>
      <c r="B30" s="36">
        <v>45841</v>
      </c>
      <c r="C30" s="35" t="s">
        <v>232</v>
      </c>
      <c r="D30" s="35">
        <v>7.51</v>
      </c>
      <c r="E30" s="35"/>
      <c r="F30" s="35">
        <v>140.69999999999999</v>
      </c>
    </row>
    <row r="31" spans="1:25" ht="15" thickBot="1" x14ac:dyDescent="0.35">
      <c r="A31" s="35">
        <v>1393710</v>
      </c>
      <c r="B31" s="36">
        <v>45841</v>
      </c>
      <c r="C31" s="35" t="s">
        <v>233</v>
      </c>
      <c r="D31" s="35"/>
      <c r="E31" s="42">
        <v>140</v>
      </c>
      <c r="F31" s="35">
        <v>280.7</v>
      </c>
    </row>
    <row r="32" spans="1:25" ht="15" thickBot="1" x14ac:dyDescent="0.35">
      <c r="A32" s="35">
        <v>1393713</v>
      </c>
      <c r="B32" s="36">
        <v>45841</v>
      </c>
      <c r="C32" s="35" t="s">
        <v>234</v>
      </c>
      <c r="D32" s="42">
        <v>21.01</v>
      </c>
      <c r="E32" s="35"/>
      <c r="F32" s="35">
        <v>259.69</v>
      </c>
    </row>
    <row r="33" spans="1:6" ht="15" thickBot="1" x14ac:dyDescent="0.35">
      <c r="A33" s="35">
        <v>1393865</v>
      </c>
      <c r="B33" s="36">
        <v>45841</v>
      </c>
      <c r="C33" s="35" t="s">
        <v>235</v>
      </c>
      <c r="D33" s="35">
        <v>67</v>
      </c>
      <c r="E33" s="35"/>
      <c r="F33" s="35">
        <v>192.69</v>
      </c>
    </row>
    <row r="34" spans="1:6" ht="15" thickBot="1" x14ac:dyDescent="0.35">
      <c r="A34" s="35">
        <v>1401077</v>
      </c>
      <c r="B34" s="36">
        <v>45841</v>
      </c>
      <c r="C34" s="35" t="s">
        <v>236</v>
      </c>
      <c r="D34" s="42">
        <v>140</v>
      </c>
      <c r="E34" s="35"/>
      <c r="F34" s="35">
        <v>52.69</v>
      </c>
    </row>
    <row r="35" spans="1:6" ht="15" thickBot="1" x14ac:dyDescent="0.35">
      <c r="A35" s="35">
        <v>1401081</v>
      </c>
      <c r="B35" s="36">
        <v>45841</v>
      </c>
      <c r="C35" s="35" t="s">
        <v>237</v>
      </c>
      <c r="D35" s="35"/>
      <c r="E35" s="42">
        <v>21.01</v>
      </c>
      <c r="F35" s="35">
        <v>73.7</v>
      </c>
    </row>
    <row r="36" spans="1:6" ht="15" thickBot="1" x14ac:dyDescent="0.35">
      <c r="A36" s="35">
        <v>1395379</v>
      </c>
      <c r="B36" s="36">
        <v>45845</v>
      </c>
      <c r="C36" s="35" t="s">
        <v>238</v>
      </c>
      <c r="D36" s="35"/>
      <c r="E36" s="35">
        <v>50</v>
      </c>
      <c r="F36" s="35">
        <v>123.7</v>
      </c>
    </row>
    <row r="37" spans="1:6" ht="15" thickBot="1" x14ac:dyDescent="0.35">
      <c r="A37" s="35">
        <v>1395382</v>
      </c>
      <c r="B37" s="36">
        <v>45845</v>
      </c>
      <c r="C37" s="35" t="s">
        <v>239</v>
      </c>
      <c r="D37" s="35">
        <v>7.51</v>
      </c>
      <c r="E37" s="35"/>
      <c r="F37" s="35">
        <v>116.19</v>
      </c>
    </row>
    <row r="38" spans="1:6" ht="15" thickBot="1" x14ac:dyDescent="0.35">
      <c r="A38" s="35">
        <v>1395767</v>
      </c>
      <c r="B38" s="36">
        <v>45845</v>
      </c>
      <c r="C38" s="35" t="s">
        <v>213</v>
      </c>
      <c r="D38" s="35"/>
      <c r="E38" s="35">
        <v>50</v>
      </c>
      <c r="F38" s="35">
        <v>166.19</v>
      </c>
    </row>
    <row r="39" spans="1:6" ht="15" thickBot="1" x14ac:dyDescent="0.35">
      <c r="A39" s="35">
        <v>1395770</v>
      </c>
      <c r="B39" s="36">
        <v>45845</v>
      </c>
      <c r="C39" s="35" t="s">
        <v>214</v>
      </c>
      <c r="D39" s="35">
        <v>7.51</v>
      </c>
      <c r="E39" s="35"/>
      <c r="F39" s="35">
        <v>158.68</v>
      </c>
    </row>
    <row r="40" spans="1:6" ht="15" thickBot="1" x14ac:dyDescent="0.35">
      <c r="A40" s="35">
        <v>1396851</v>
      </c>
      <c r="B40" s="36">
        <v>45846</v>
      </c>
      <c r="C40" s="35" t="s">
        <v>240</v>
      </c>
      <c r="D40" s="35"/>
      <c r="E40" s="35">
        <v>100</v>
      </c>
      <c r="F40" s="35">
        <v>258.68</v>
      </c>
    </row>
    <row r="41" spans="1:6" ht="15" thickBot="1" x14ac:dyDescent="0.35">
      <c r="A41" s="35">
        <v>1396854</v>
      </c>
      <c r="B41" s="36">
        <v>45846</v>
      </c>
      <c r="C41" s="35" t="s">
        <v>241</v>
      </c>
      <c r="D41" s="35">
        <v>15.01</v>
      </c>
      <c r="E41" s="35"/>
      <c r="F41" s="35">
        <v>243.67</v>
      </c>
    </row>
    <row r="42" spans="1:6" ht="15" thickBot="1" x14ac:dyDescent="0.35">
      <c r="A42" s="38">
        <v>1399856</v>
      </c>
      <c r="B42" s="39">
        <v>45853</v>
      </c>
      <c r="C42" s="38" t="s">
        <v>114</v>
      </c>
      <c r="D42" s="38">
        <v>63</v>
      </c>
      <c r="E42" s="38"/>
      <c r="F42" s="38">
        <v>180.67</v>
      </c>
    </row>
    <row r="43" spans="1:6" ht="15" thickBot="1" x14ac:dyDescent="0.35">
      <c r="A43" s="35">
        <v>1404550</v>
      </c>
      <c r="B43" s="36">
        <v>45869</v>
      </c>
      <c r="C43" s="35" t="s">
        <v>87</v>
      </c>
      <c r="D43" s="35">
        <v>543</v>
      </c>
      <c r="E43" s="35"/>
      <c r="F43" s="35">
        <v>-362.33</v>
      </c>
    </row>
    <row r="44" spans="1:6" x14ac:dyDescent="0.3">
      <c r="A44" s="35"/>
      <c r="B44" s="35"/>
      <c r="C44" s="35"/>
      <c r="D44" s="37">
        <v>940.34</v>
      </c>
      <c r="E44" s="37">
        <f>869.01-E35-E31</f>
        <v>708</v>
      </c>
      <c r="F44" s="37">
        <v>-362.33</v>
      </c>
    </row>
  </sheetData>
  <pageMargins left="0.7" right="0.7" top="0.75" bottom="0.75" header="0.3" footer="0.3"/>
  <pageSetup orientation="portrait" r:id="rId1"/>
  <drawing r:id="rId2"/>
  <legacyDrawing r:id="rId3"/>
  <controls>
    <mc:AlternateContent xmlns:mc="http://schemas.openxmlformats.org/markup-compatibility/2006">
      <mc:Choice Requires="x14">
        <control shapeId="3073" r:id="rId4" name="Control 1">
          <controlPr defaultSize="0" r:id="rId5">
            <anchor moveWithCells="1">
              <from>
                <xdr:col>9</xdr:col>
                <xdr:colOff>0</xdr:colOff>
                <xdr:row>27</xdr:row>
                <xdr:rowOff>0</xdr:rowOff>
              </from>
              <to>
                <xdr:col>9</xdr:col>
                <xdr:colOff>358140</xdr:colOff>
                <xdr:row>28</xdr:row>
                <xdr:rowOff>114300</xdr:rowOff>
              </to>
            </anchor>
          </controlPr>
        </control>
      </mc:Choice>
      <mc:Fallback>
        <control shapeId="3073" r:id="rId4" name="Control 1"/>
      </mc:Fallback>
    </mc:AlternateContent>
  </control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76"/>
  <sheetViews>
    <sheetView topLeftCell="I9" workbookViewId="0">
      <selection activeCell="O29" sqref="O29"/>
    </sheetView>
  </sheetViews>
  <sheetFormatPr defaultRowHeight="14.4" x14ac:dyDescent="0.3"/>
  <cols>
    <col min="3" max="3" width="42" customWidth="1"/>
  </cols>
  <sheetData>
    <row r="1" spans="1:24" ht="17.399999999999999" x14ac:dyDescent="0.3">
      <c r="A1" s="1" t="s">
        <v>4</v>
      </c>
      <c r="J1" s="1" t="s">
        <v>4</v>
      </c>
      <c r="R1" s="1" t="s">
        <v>13</v>
      </c>
    </row>
    <row r="2" spans="1:24" x14ac:dyDescent="0.3">
      <c r="R2" s="11" t="s">
        <v>67</v>
      </c>
    </row>
    <row r="3" spans="1:24" x14ac:dyDescent="0.3">
      <c r="A3" s="2" t="s">
        <v>19</v>
      </c>
      <c r="J3" s="2" t="s">
        <v>19</v>
      </c>
      <c r="R3" s="11" t="s">
        <v>68</v>
      </c>
    </row>
    <row r="4" spans="1:24" x14ac:dyDescent="0.3">
      <c r="R4" s="11" t="s">
        <v>14</v>
      </c>
    </row>
    <row r="5" spans="1:24" x14ac:dyDescent="0.3">
      <c r="A5" s="3" t="s">
        <v>20</v>
      </c>
      <c r="J5" s="3" t="s">
        <v>66</v>
      </c>
    </row>
    <row r="6" spans="1:24" x14ac:dyDescent="0.3">
      <c r="A6" s="3" t="s">
        <v>5</v>
      </c>
      <c r="J6" s="3" t="s">
        <v>18</v>
      </c>
    </row>
    <row r="7" spans="1:24" x14ac:dyDescent="0.3">
      <c r="A7" s="3" t="s">
        <v>21</v>
      </c>
      <c r="J7" s="3" t="s">
        <v>21</v>
      </c>
    </row>
    <row r="8" spans="1:24" x14ac:dyDescent="0.3">
      <c r="A8" s="4"/>
      <c r="J8" s="4"/>
      <c r="R8" s="11" t="s">
        <v>69</v>
      </c>
    </row>
    <row r="9" spans="1:24" ht="15" thickBot="1" x14ac:dyDescent="0.35">
      <c r="A9" s="5" t="s">
        <v>6</v>
      </c>
      <c r="B9" s="5" t="s">
        <v>7</v>
      </c>
      <c r="C9" s="5" t="s">
        <v>8</v>
      </c>
      <c r="D9" s="5" t="s">
        <v>9</v>
      </c>
      <c r="E9" s="5" t="s">
        <v>10</v>
      </c>
      <c r="F9" s="5" t="s">
        <v>11</v>
      </c>
      <c r="J9" s="5" t="s">
        <v>6</v>
      </c>
      <c r="K9" s="5" t="s">
        <v>7</v>
      </c>
      <c r="L9" s="5" t="s">
        <v>8</v>
      </c>
      <c r="M9" s="5" t="s">
        <v>9</v>
      </c>
      <c r="N9" s="5" t="s">
        <v>10</v>
      </c>
      <c r="O9" s="5" t="s">
        <v>11</v>
      </c>
      <c r="R9" s="12" t="s">
        <v>15</v>
      </c>
      <c r="S9" s="12" t="s">
        <v>16</v>
      </c>
      <c r="T9" s="12" t="s">
        <v>0</v>
      </c>
      <c r="U9" s="12" t="s">
        <v>17</v>
      </c>
      <c r="V9" s="12" t="s">
        <v>1</v>
      </c>
      <c r="W9" s="12" t="s">
        <v>2</v>
      </c>
      <c r="X9" s="12" t="s">
        <v>3</v>
      </c>
    </row>
    <row r="10" spans="1:24" ht="15" thickBot="1" x14ac:dyDescent="0.35">
      <c r="A10" s="6"/>
      <c r="B10" s="6"/>
      <c r="C10" s="6" t="s">
        <v>12</v>
      </c>
      <c r="D10" s="6"/>
      <c r="E10" s="6"/>
      <c r="F10" s="6">
        <v>0</v>
      </c>
      <c r="J10" s="6"/>
      <c r="K10" s="6"/>
      <c r="L10" s="6" t="s">
        <v>12</v>
      </c>
      <c r="M10" s="6"/>
      <c r="N10" s="6"/>
      <c r="O10" s="6">
        <v>0</v>
      </c>
      <c r="R10" s="6">
        <v>5817</v>
      </c>
      <c r="S10" s="6" t="s">
        <v>70</v>
      </c>
      <c r="T10" s="6">
        <v>50</v>
      </c>
      <c r="U10" s="6">
        <v>50</v>
      </c>
      <c r="V10" s="6">
        <v>100</v>
      </c>
      <c r="W10" s="6">
        <v>50</v>
      </c>
      <c r="X10" s="6">
        <v>0</v>
      </c>
    </row>
    <row r="11" spans="1:24" ht="15" thickBot="1" x14ac:dyDescent="0.35">
      <c r="A11" s="6">
        <v>1224933</v>
      </c>
      <c r="B11" s="7">
        <v>45444</v>
      </c>
      <c r="C11" s="6" t="s">
        <v>22</v>
      </c>
      <c r="D11" s="6"/>
      <c r="E11" s="6">
        <v>400</v>
      </c>
      <c r="F11" s="6">
        <v>400</v>
      </c>
      <c r="J11" s="6"/>
      <c r="K11" s="6"/>
      <c r="L11" s="6"/>
      <c r="M11" s="10">
        <v>0</v>
      </c>
      <c r="N11" s="10">
        <v>0</v>
      </c>
      <c r="O11" s="10">
        <v>0</v>
      </c>
      <c r="R11" s="6">
        <v>5819</v>
      </c>
      <c r="S11" s="6" t="s">
        <v>71</v>
      </c>
      <c r="T11" s="6">
        <v>50</v>
      </c>
      <c r="U11" s="6">
        <v>50</v>
      </c>
      <c r="V11" s="6">
        <v>200</v>
      </c>
      <c r="W11" s="6">
        <v>100</v>
      </c>
      <c r="X11" s="6">
        <v>-50</v>
      </c>
    </row>
    <row r="12" spans="1:24" ht="15" thickBot="1" x14ac:dyDescent="0.35">
      <c r="A12" s="6">
        <v>1203534</v>
      </c>
      <c r="B12" s="7">
        <v>45454</v>
      </c>
      <c r="C12" s="6" t="s">
        <v>23</v>
      </c>
      <c r="D12" s="6"/>
      <c r="E12" s="6">
        <v>50</v>
      </c>
      <c r="F12" s="6">
        <v>450</v>
      </c>
      <c r="R12" s="6">
        <v>5820</v>
      </c>
      <c r="S12" s="6" t="s">
        <v>72</v>
      </c>
      <c r="T12" s="6">
        <v>50</v>
      </c>
      <c r="U12" s="6">
        <v>50</v>
      </c>
      <c r="V12" s="6">
        <v>300</v>
      </c>
      <c r="W12" s="6">
        <v>50</v>
      </c>
      <c r="X12" s="6">
        <v>0</v>
      </c>
    </row>
    <row r="13" spans="1:24" ht="15" thickBot="1" x14ac:dyDescent="0.35">
      <c r="A13" s="6">
        <v>1203537</v>
      </c>
      <c r="B13" s="7">
        <v>45454</v>
      </c>
      <c r="C13" s="6" t="s">
        <v>24</v>
      </c>
      <c r="D13" s="6">
        <v>7.51</v>
      </c>
      <c r="E13" s="6"/>
      <c r="F13" s="6">
        <v>442.49</v>
      </c>
      <c r="H13">
        <f>E12*0.1501</f>
        <v>7.5050000000000008</v>
      </c>
      <c r="R13" s="6">
        <v>5821</v>
      </c>
      <c r="S13" s="6" t="s">
        <v>73</v>
      </c>
      <c r="T13" s="6">
        <v>50</v>
      </c>
      <c r="U13" s="6">
        <v>150</v>
      </c>
      <c r="V13" s="6">
        <v>500</v>
      </c>
      <c r="W13" s="6">
        <v>150</v>
      </c>
      <c r="X13" s="6">
        <v>0</v>
      </c>
    </row>
    <row r="14" spans="1:24" ht="15" thickBot="1" x14ac:dyDescent="0.35">
      <c r="A14" s="6">
        <v>1203541</v>
      </c>
      <c r="B14" s="7">
        <v>45454</v>
      </c>
      <c r="C14" s="6" t="s">
        <v>25</v>
      </c>
      <c r="D14" s="6"/>
      <c r="E14" s="6">
        <v>50</v>
      </c>
      <c r="F14" s="6">
        <v>492.49</v>
      </c>
      <c r="R14" s="6">
        <v>5822</v>
      </c>
      <c r="S14" s="6" t="s">
        <v>74</v>
      </c>
      <c r="T14" s="6">
        <v>50</v>
      </c>
      <c r="U14" s="6">
        <v>50</v>
      </c>
      <c r="V14" s="6">
        <v>600</v>
      </c>
      <c r="W14" s="6">
        <v>50</v>
      </c>
      <c r="X14" s="6">
        <v>0</v>
      </c>
    </row>
    <row r="15" spans="1:24" ht="15" thickBot="1" x14ac:dyDescent="0.35">
      <c r="A15" s="6">
        <v>1203544</v>
      </c>
      <c r="B15" s="7">
        <v>45454</v>
      </c>
      <c r="C15" s="6" t="s">
        <v>26</v>
      </c>
      <c r="D15" s="6">
        <v>7.51</v>
      </c>
      <c r="E15" s="6"/>
      <c r="F15" s="6">
        <v>484.98</v>
      </c>
      <c r="R15" s="6">
        <v>5823</v>
      </c>
      <c r="S15" s="6" t="s">
        <v>75</v>
      </c>
      <c r="T15" s="6">
        <v>50</v>
      </c>
      <c r="U15" s="6">
        <v>50</v>
      </c>
      <c r="V15" s="6">
        <v>700</v>
      </c>
      <c r="W15" s="6">
        <v>100</v>
      </c>
      <c r="X15" s="6">
        <v>-50</v>
      </c>
    </row>
    <row r="16" spans="1:24" ht="15" thickBot="1" x14ac:dyDescent="0.35">
      <c r="A16" s="6">
        <v>1203548</v>
      </c>
      <c r="B16" s="7">
        <v>45454</v>
      </c>
      <c r="C16" s="6" t="s">
        <v>27</v>
      </c>
      <c r="D16" s="6"/>
      <c r="E16" s="6">
        <v>50</v>
      </c>
      <c r="F16" s="6">
        <v>534.98</v>
      </c>
      <c r="R16" s="6">
        <v>5824</v>
      </c>
      <c r="S16" s="6" t="s">
        <v>76</v>
      </c>
      <c r="T16" s="6">
        <v>50</v>
      </c>
      <c r="U16" s="6">
        <v>50</v>
      </c>
      <c r="V16" s="6">
        <v>800</v>
      </c>
      <c r="W16" s="6">
        <v>100</v>
      </c>
      <c r="X16" s="6">
        <v>-50</v>
      </c>
    </row>
    <row r="17" spans="1:24" ht="15" thickBot="1" x14ac:dyDescent="0.35">
      <c r="A17" s="6">
        <v>1203551</v>
      </c>
      <c r="B17" s="7">
        <v>45454</v>
      </c>
      <c r="C17" s="6" t="s">
        <v>28</v>
      </c>
      <c r="D17" s="6">
        <v>7.51</v>
      </c>
      <c r="E17" s="6"/>
      <c r="F17" s="6">
        <v>527.47</v>
      </c>
      <c r="R17" s="6">
        <v>5825</v>
      </c>
      <c r="S17" s="6" t="s">
        <v>77</v>
      </c>
      <c r="T17" s="6">
        <v>50</v>
      </c>
      <c r="U17" s="6">
        <v>50</v>
      </c>
      <c r="V17" s="6">
        <v>900</v>
      </c>
      <c r="W17" s="6">
        <v>100</v>
      </c>
      <c r="X17" s="6">
        <v>-50</v>
      </c>
    </row>
    <row r="18" spans="1:24" ht="15" thickBot="1" x14ac:dyDescent="0.35">
      <c r="A18" s="6">
        <v>1203557</v>
      </c>
      <c r="B18" s="7">
        <v>45454</v>
      </c>
      <c r="C18" s="6" t="s">
        <v>29</v>
      </c>
      <c r="D18" s="6"/>
      <c r="E18" s="6">
        <v>100</v>
      </c>
      <c r="F18" s="6">
        <v>627.47</v>
      </c>
      <c r="R18" s="6">
        <v>5826</v>
      </c>
      <c r="S18" s="6" t="s">
        <v>78</v>
      </c>
      <c r="T18" s="6">
        <v>50</v>
      </c>
      <c r="U18" s="6">
        <v>50</v>
      </c>
      <c r="V18" s="6">
        <v>1000</v>
      </c>
      <c r="W18" s="6">
        <v>50</v>
      </c>
      <c r="X18" s="6">
        <v>0</v>
      </c>
    </row>
    <row r="19" spans="1:24" ht="15" thickBot="1" x14ac:dyDescent="0.35">
      <c r="A19" s="6">
        <v>1203560</v>
      </c>
      <c r="B19" s="7">
        <v>45454</v>
      </c>
      <c r="C19" s="6" t="s">
        <v>30</v>
      </c>
      <c r="D19" s="6">
        <v>15.01</v>
      </c>
      <c r="E19" s="6"/>
      <c r="F19" s="6">
        <v>612.46</v>
      </c>
      <c r="R19" s="6">
        <v>5827</v>
      </c>
      <c r="S19" s="6" t="s">
        <v>79</v>
      </c>
      <c r="T19" s="6">
        <v>50</v>
      </c>
      <c r="U19" s="6">
        <v>50</v>
      </c>
      <c r="V19" s="6">
        <v>1100</v>
      </c>
      <c r="W19" s="6">
        <v>100</v>
      </c>
      <c r="X19" s="6">
        <v>-50</v>
      </c>
    </row>
    <row r="20" spans="1:24" ht="15" thickBot="1" x14ac:dyDescent="0.35">
      <c r="A20" s="6">
        <v>1203564</v>
      </c>
      <c r="B20" s="7">
        <v>45454</v>
      </c>
      <c r="C20" s="6" t="s">
        <v>31</v>
      </c>
      <c r="D20" s="6"/>
      <c r="E20" s="6">
        <v>50</v>
      </c>
      <c r="F20" s="6">
        <v>662.46</v>
      </c>
      <c r="R20" s="6">
        <v>5828</v>
      </c>
      <c r="S20" s="6" t="s">
        <v>80</v>
      </c>
      <c r="T20" s="6">
        <v>50</v>
      </c>
      <c r="U20" s="6">
        <v>50</v>
      </c>
      <c r="V20" s="6">
        <v>1200</v>
      </c>
      <c r="W20" s="6">
        <v>100</v>
      </c>
      <c r="X20" s="6">
        <v>-50</v>
      </c>
    </row>
    <row r="21" spans="1:24" ht="15" thickBot="1" x14ac:dyDescent="0.35">
      <c r="A21" s="6">
        <v>1203567</v>
      </c>
      <c r="B21" s="7">
        <v>45454</v>
      </c>
      <c r="C21" s="6" t="s">
        <v>32</v>
      </c>
      <c r="D21" s="6">
        <v>7.51</v>
      </c>
      <c r="E21" s="6"/>
      <c r="F21" s="6">
        <v>654.95000000000005</v>
      </c>
      <c r="R21" s="8">
        <v>5829</v>
      </c>
      <c r="S21" s="8" t="s">
        <v>81</v>
      </c>
      <c r="T21" s="8">
        <v>50</v>
      </c>
      <c r="U21" s="8">
        <v>50</v>
      </c>
      <c r="V21" s="8">
        <v>1300</v>
      </c>
      <c r="W21" s="8">
        <v>100</v>
      </c>
      <c r="X21" s="8">
        <v>-50</v>
      </c>
    </row>
    <row r="22" spans="1:24" ht="15" thickBot="1" x14ac:dyDescent="0.35">
      <c r="A22" s="6">
        <v>1203573</v>
      </c>
      <c r="B22" s="7">
        <v>45454</v>
      </c>
      <c r="C22" s="6" t="s">
        <v>33</v>
      </c>
      <c r="D22" s="6"/>
      <c r="E22" s="6">
        <v>50</v>
      </c>
      <c r="F22" s="6">
        <v>704.95</v>
      </c>
      <c r="R22" s="6">
        <v>5830</v>
      </c>
      <c r="S22" s="6" t="s">
        <v>82</v>
      </c>
      <c r="T22" s="6">
        <v>50</v>
      </c>
      <c r="U22" s="6">
        <v>50</v>
      </c>
      <c r="V22" s="6">
        <v>1400</v>
      </c>
      <c r="W22" s="6">
        <v>200</v>
      </c>
      <c r="X22" s="6">
        <v>-150</v>
      </c>
    </row>
    <row r="23" spans="1:24" ht="15" thickBot="1" x14ac:dyDescent="0.35">
      <c r="A23" s="6">
        <v>1203576</v>
      </c>
      <c r="B23" s="7">
        <v>45454</v>
      </c>
      <c r="C23" s="6" t="s">
        <v>34</v>
      </c>
      <c r="D23" s="6">
        <v>7.51</v>
      </c>
      <c r="E23" s="6"/>
      <c r="F23" s="6">
        <v>697.44</v>
      </c>
      <c r="R23" s="6">
        <v>5831</v>
      </c>
      <c r="S23" s="6" t="s">
        <v>83</v>
      </c>
      <c r="T23" s="6">
        <v>50</v>
      </c>
      <c r="U23" s="6">
        <v>50</v>
      </c>
      <c r="V23" s="6">
        <v>1500</v>
      </c>
      <c r="W23" s="6">
        <v>100</v>
      </c>
      <c r="X23" s="6">
        <v>-50</v>
      </c>
    </row>
    <row r="24" spans="1:24" ht="15" thickBot="1" x14ac:dyDescent="0.35">
      <c r="A24" s="6">
        <v>1203580</v>
      </c>
      <c r="B24" s="7">
        <v>45454</v>
      </c>
      <c r="C24" s="6" t="s">
        <v>35</v>
      </c>
      <c r="D24" s="6"/>
      <c r="E24" s="14">
        <v>100</v>
      </c>
      <c r="F24" s="6">
        <v>797.44</v>
      </c>
      <c r="R24" s="6">
        <v>5832</v>
      </c>
      <c r="S24" s="6" t="s">
        <v>84</v>
      </c>
      <c r="T24" s="6">
        <v>50</v>
      </c>
      <c r="U24" s="6">
        <v>50</v>
      </c>
      <c r="V24" s="6">
        <v>1600</v>
      </c>
      <c r="W24" s="6">
        <v>100</v>
      </c>
      <c r="X24" s="6">
        <v>-50</v>
      </c>
    </row>
    <row r="25" spans="1:24" ht="15" thickBot="1" x14ac:dyDescent="0.35">
      <c r="A25" s="6">
        <v>1203583</v>
      </c>
      <c r="B25" s="7">
        <v>45454</v>
      </c>
      <c r="C25" s="6" t="s">
        <v>36</v>
      </c>
      <c r="D25" s="14">
        <v>15.01</v>
      </c>
      <c r="E25" s="6"/>
      <c r="F25" s="6">
        <v>782.43</v>
      </c>
      <c r="R25" s="6">
        <v>5833</v>
      </c>
      <c r="S25" s="6" t="s">
        <v>85</v>
      </c>
      <c r="T25" s="6">
        <v>50</v>
      </c>
      <c r="U25" s="6">
        <v>50</v>
      </c>
      <c r="V25" s="6">
        <v>1700</v>
      </c>
      <c r="W25" s="6">
        <v>100</v>
      </c>
      <c r="X25" s="6">
        <v>-50</v>
      </c>
    </row>
    <row r="26" spans="1:24" ht="15" thickBot="1" x14ac:dyDescent="0.35">
      <c r="A26" s="6">
        <v>1203587</v>
      </c>
      <c r="B26" s="7">
        <v>45454</v>
      </c>
      <c r="C26" s="6" t="s">
        <v>37</v>
      </c>
      <c r="D26" s="6"/>
      <c r="E26" s="6">
        <v>50</v>
      </c>
      <c r="F26" s="6">
        <v>832.43</v>
      </c>
      <c r="R26" s="6">
        <v>5834</v>
      </c>
      <c r="S26" s="6" t="s">
        <v>86</v>
      </c>
      <c r="T26" s="6">
        <v>50</v>
      </c>
      <c r="U26" s="6">
        <v>50</v>
      </c>
      <c r="V26" s="6">
        <v>1800</v>
      </c>
      <c r="W26" s="6">
        <v>100</v>
      </c>
      <c r="X26" s="6">
        <v>-50</v>
      </c>
    </row>
    <row r="27" spans="1:24" ht="15" thickBot="1" x14ac:dyDescent="0.35">
      <c r="A27" s="6">
        <v>1203590</v>
      </c>
      <c r="B27" s="7">
        <v>45454</v>
      </c>
      <c r="C27" s="6" t="s">
        <v>38</v>
      </c>
      <c r="D27" s="6">
        <v>7.51</v>
      </c>
      <c r="E27" s="6"/>
      <c r="F27" s="6">
        <v>824.92</v>
      </c>
      <c r="R27" s="6"/>
      <c r="S27" s="6"/>
      <c r="T27" s="13">
        <v>850</v>
      </c>
      <c r="U27" s="13">
        <v>950</v>
      </c>
      <c r="V27" s="13">
        <v>1800</v>
      </c>
      <c r="W27" s="13">
        <v>1650</v>
      </c>
      <c r="X27" s="13">
        <v>-700</v>
      </c>
    </row>
    <row r="28" spans="1:24" ht="15" thickBot="1" x14ac:dyDescent="0.35">
      <c r="A28" s="6">
        <v>1203594</v>
      </c>
      <c r="B28" s="7">
        <v>45454</v>
      </c>
      <c r="C28" s="6" t="s">
        <v>39</v>
      </c>
      <c r="D28" s="6"/>
      <c r="E28" s="6">
        <v>50</v>
      </c>
      <c r="F28" s="6">
        <v>874.92</v>
      </c>
      <c r="X28">
        <f>X11+X15+X16+X17+X19+X20+X21+X22+X23+X24+X25+X26</f>
        <v>-700</v>
      </c>
    </row>
    <row r="29" spans="1:24" ht="15" thickBot="1" x14ac:dyDescent="0.35">
      <c r="A29" s="6">
        <v>1203597</v>
      </c>
      <c r="B29" s="7">
        <v>45454</v>
      </c>
      <c r="C29" s="6" t="s">
        <v>40</v>
      </c>
      <c r="D29" s="6">
        <v>7.51</v>
      </c>
      <c r="E29" s="6"/>
      <c r="F29" s="6">
        <v>867.41</v>
      </c>
      <c r="X29">
        <f>X28*-1</f>
        <v>700</v>
      </c>
    </row>
    <row r="30" spans="1:24" ht="15" thickBot="1" x14ac:dyDescent="0.35">
      <c r="A30" s="6">
        <v>1203601</v>
      </c>
      <c r="B30" s="7">
        <v>45454</v>
      </c>
      <c r="C30" s="6" t="s">
        <v>41</v>
      </c>
      <c r="D30" s="6"/>
      <c r="E30" s="6">
        <v>50</v>
      </c>
      <c r="F30" s="6">
        <v>917.41</v>
      </c>
      <c r="X30" s="15">
        <v>0</v>
      </c>
    </row>
    <row r="31" spans="1:24" ht="15" thickBot="1" x14ac:dyDescent="0.35">
      <c r="A31" s="6">
        <v>1203604</v>
      </c>
      <c r="B31" s="7">
        <v>45454</v>
      </c>
      <c r="C31" s="6" t="s">
        <v>42</v>
      </c>
      <c r="D31" s="6">
        <v>7.51</v>
      </c>
      <c r="E31" s="6"/>
      <c r="F31" s="6">
        <v>909.9</v>
      </c>
    </row>
    <row r="32" spans="1:24" ht="15" thickBot="1" x14ac:dyDescent="0.35">
      <c r="A32" s="6">
        <v>1203608</v>
      </c>
      <c r="B32" s="7">
        <v>45454</v>
      </c>
      <c r="C32" s="6" t="s">
        <v>43</v>
      </c>
      <c r="D32" s="6"/>
      <c r="E32" s="6">
        <v>50</v>
      </c>
      <c r="F32" s="6">
        <v>959.9</v>
      </c>
    </row>
    <row r="33" spans="1:6" ht="15" thickBot="1" x14ac:dyDescent="0.35">
      <c r="A33" s="6">
        <v>1203611</v>
      </c>
      <c r="B33" s="7">
        <v>45454</v>
      </c>
      <c r="C33" s="6" t="s">
        <v>44</v>
      </c>
      <c r="D33" s="6">
        <v>7.51</v>
      </c>
      <c r="E33" s="6"/>
      <c r="F33" s="6">
        <v>952.39</v>
      </c>
    </row>
    <row r="34" spans="1:6" ht="15" thickBot="1" x14ac:dyDescent="0.35">
      <c r="A34" s="6">
        <v>1203615</v>
      </c>
      <c r="B34" s="7">
        <v>45454</v>
      </c>
      <c r="C34" s="6" t="s">
        <v>45</v>
      </c>
      <c r="D34" s="6"/>
      <c r="E34" s="6">
        <v>200</v>
      </c>
      <c r="F34" s="6">
        <v>1152.3900000000001</v>
      </c>
    </row>
    <row r="35" spans="1:6" ht="15" thickBot="1" x14ac:dyDescent="0.35">
      <c r="A35" s="6">
        <v>1203618</v>
      </c>
      <c r="B35" s="7">
        <v>45454</v>
      </c>
      <c r="C35" s="6" t="s">
        <v>46</v>
      </c>
      <c r="D35" s="6">
        <v>30.02</v>
      </c>
      <c r="E35" s="6"/>
      <c r="F35" s="6">
        <v>1122.3699999999999</v>
      </c>
    </row>
    <row r="36" spans="1:6" ht="15" thickBot="1" x14ac:dyDescent="0.35">
      <c r="A36" s="6">
        <v>1203624</v>
      </c>
      <c r="B36" s="7">
        <v>45454</v>
      </c>
      <c r="C36" s="6" t="s">
        <v>47</v>
      </c>
      <c r="D36" s="6"/>
      <c r="E36" s="6">
        <v>50</v>
      </c>
      <c r="F36" s="6">
        <v>1172.3699999999999</v>
      </c>
    </row>
    <row r="37" spans="1:6" ht="15" thickBot="1" x14ac:dyDescent="0.35">
      <c r="A37" s="6">
        <v>1203627</v>
      </c>
      <c r="B37" s="7">
        <v>45454</v>
      </c>
      <c r="C37" s="6" t="s">
        <v>48</v>
      </c>
      <c r="D37" s="6">
        <v>7.51</v>
      </c>
      <c r="E37" s="6"/>
      <c r="F37" s="6">
        <v>1164.8599999999999</v>
      </c>
    </row>
    <row r="38" spans="1:6" ht="15" thickBot="1" x14ac:dyDescent="0.35">
      <c r="A38" s="6">
        <v>1203631</v>
      </c>
      <c r="B38" s="7">
        <v>45454</v>
      </c>
      <c r="C38" s="6" t="s">
        <v>49</v>
      </c>
      <c r="D38" s="6"/>
      <c r="E38" s="6">
        <v>50</v>
      </c>
      <c r="F38" s="6">
        <v>1214.8599999999999</v>
      </c>
    </row>
    <row r="39" spans="1:6" ht="15" thickBot="1" x14ac:dyDescent="0.35">
      <c r="A39" s="6">
        <v>1203634</v>
      </c>
      <c r="B39" s="7">
        <v>45454</v>
      </c>
      <c r="C39" s="6" t="s">
        <v>50</v>
      </c>
      <c r="D39" s="6">
        <v>7.51</v>
      </c>
      <c r="E39" s="6"/>
      <c r="F39" s="6">
        <v>1207.3499999999999</v>
      </c>
    </row>
    <row r="40" spans="1:6" ht="15" thickBot="1" x14ac:dyDescent="0.35">
      <c r="A40" s="6">
        <v>1203638</v>
      </c>
      <c r="B40" s="7">
        <v>45454</v>
      </c>
      <c r="C40" s="6" t="s">
        <v>51</v>
      </c>
      <c r="D40" s="6"/>
      <c r="E40" s="6">
        <v>50</v>
      </c>
      <c r="F40" s="6">
        <v>1257.3499999999999</v>
      </c>
    </row>
    <row r="41" spans="1:6" ht="15" thickBot="1" x14ac:dyDescent="0.35">
      <c r="A41" s="6">
        <v>1203641</v>
      </c>
      <c r="B41" s="7">
        <v>45454</v>
      </c>
      <c r="C41" s="6" t="s">
        <v>52</v>
      </c>
      <c r="D41" s="6">
        <v>7.51</v>
      </c>
      <c r="E41" s="6"/>
      <c r="F41" s="6">
        <v>1249.8399999999999</v>
      </c>
    </row>
    <row r="42" spans="1:6" ht="15" thickBot="1" x14ac:dyDescent="0.35">
      <c r="A42" s="6">
        <v>1203645</v>
      </c>
      <c r="B42" s="7">
        <v>45454</v>
      </c>
      <c r="C42" s="6" t="s">
        <v>53</v>
      </c>
      <c r="D42" s="6"/>
      <c r="E42" s="6">
        <v>50</v>
      </c>
      <c r="F42" s="6">
        <v>1299.8399999999999</v>
      </c>
    </row>
    <row r="43" spans="1:6" ht="15" thickBot="1" x14ac:dyDescent="0.35">
      <c r="A43" s="6">
        <v>1203648</v>
      </c>
      <c r="B43" s="7">
        <v>45454</v>
      </c>
      <c r="C43" s="6" t="s">
        <v>54</v>
      </c>
      <c r="D43" s="6">
        <v>7.51</v>
      </c>
      <c r="E43" s="6"/>
      <c r="F43" s="6">
        <v>1292.33</v>
      </c>
    </row>
    <row r="44" spans="1:6" ht="15" thickBot="1" x14ac:dyDescent="0.35">
      <c r="A44" s="6">
        <v>1205294</v>
      </c>
      <c r="B44" s="7">
        <v>45454</v>
      </c>
      <c r="C44" s="6" t="s">
        <v>55</v>
      </c>
      <c r="D44" s="6"/>
      <c r="E44" s="6">
        <v>50</v>
      </c>
      <c r="F44" s="6">
        <v>1342.33</v>
      </c>
    </row>
    <row r="45" spans="1:6" ht="15" thickBot="1" x14ac:dyDescent="0.35">
      <c r="A45" s="6">
        <v>1205297</v>
      </c>
      <c r="B45" s="7">
        <v>45454</v>
      </c>
      <c r="C45" s="6" t="s">
        <v>56</v>
      </c>
      <c r="D45" s="6">
        <v>7.51</v>
      </c>
      <c r="E45" s="6"/>
      <c r="F45" s="6">
        <v>1334.82</v>
      </c>
    </row>
    <row r="46" spans="1:6" ht="15" thickBot="1" x14ac:dyDescent="0.35">
      <c r="A46" s="6">
        <v>1205300</v>
      </c>
      <c r="B46" s="7">
        <v>45454</v>
      </c>
      <c r="C46" s="6" t="s">
        <v>57</v>
      </c>
      <c r="D46" s="14">
        <v>100</v>
      </c>
      <c r="E46" s="6"/>
      <c r="F46" s="6">
        <v>1234.82</v>
      </c>
    </row>
    <row r="47" spans="1:6" ht="15" thickBot="1" x14ac:dyDescent="0.35">
      <c r="A47" s="6">
        <v>1205304</v>
      </c>
      <c r="B47" s="7">
        <v>45454</v>
      </c>
      <c r="C47" s="6" t="s">
        <v>58</v>
      </c>
      <c r="D47" s="6"/>
      <c r="E47" s="14">
        <v>15.01</v>
      </c>
      <c r="F47" s="6">
        <v>1249.83</v>
      </c>
    </row>
    <row r="48" spans="1:6" ht="15" thickBot="1" x14ac:dyDescent="0.35">
      <c r="A48" s="6">
        <v>1204760</v>
      </c>
      <c r="B48" s="7">
        <v>45455</v>
      </c>
      <c r="C48" s="6" t="s">
        <v>59</v>
      </c>
      <c r="D48" s="6">
        <v>533</v>
      </c>
      <c r="E48" s="6"/>
      <c r="F48" s="6">
        <v>716.83</v>
      </c>
    </row>
    <row r="49" spans="1:6" ht="15" thickBot="1" x14ac:dyDescent="0.35">
      <c r="A49" s="6">
        <v>1204762</v>
      </c>
      <c r="B49" s="7">
        <v>45455</v>
      </c>
      <c r="C49" s="6" t="s">
        <v>60</v>
      </c>
      <c r="D49" s="6">
        <v>50</v>
      </c>
      <c r="E49" s="6"/>
      <c r="F49" s="6">
        <v>666.83</v>
      </c>
    </row>
    <row r="50" spans="1:6" ht="15" thickBot="1" x14ac:dyDescent="0.35">
      <c r="A50" s="6">
        <v>1204764</v>
      </c>
      <c r="B50" s="7">
        <v>45455</v>
      </c>
      <c r="C50" s="6" t="s">
        <v>61</v>
      </c>
      <c r="D50" s="6">
        <v>40</v>
      </c>
      <c r="E50" s="6"/>
      <c r="F50" s="6">
        <v>626.83000000000004</v>
      </c>
    </row>
    <row r="51" spans="1:6" ht="15" thickBot="1" x14ac:dyDescent="0.35">
      <c r="A51" s="6">
        <v>1204766</v>
      </c>
      <c r="B51" s="7">
        <v>45455</v>
      </c>
      <c r="C51" s="6" t="s">
        <v>62</v>
      </c>
      <c r="D51" s="6">
        <v>24</v>
      </c>
      <c r="E51" s="6"/>
      <c r="F51" s="6">
        <v>602.83000000000004</v>
      </c>
    </row>
    <row r="52" spans="1:6" ht="15" thickBot="1" x14ac:dyDescent="0.35">
      <c r="A52" s="6">
        <v>1204768</v>
      </c>
      <c r="B52" s="7">
        <v>45455</v>
      </c>
      <c r="C52" s="6" t="s">
        <v>63</v>
      </c>
      <c r="D52" s="6">
        <v>270</v>
      </c>
      <c r="E52" s="6"/>
      <c r="F52" s="6">
        <v>332.83</v>
      </c>
    </row>
    <row r="53" spans="1:6" ht="15" thickBot="1" x14ac:dyDescent="0.35">
      <c r="A53" s="6">
        <v>1210125</v>
      </c>
      <c r="B53" s="7">
        <v>45471</v>
      </c>
      <c r="C53" s="6" t="s">
        <v>41</v>
      </c>
      <c r="D53" s="6"/>
      <c r="E53" s="6">
        <v>50</v>
      </c>
      <c r="F53" s="6">
        <v>382.83</v>
      </c>
    </row>
    <row r="54" spans="1:6" ht="15" thickBot="1" x14ac:dyDescent="0.35">
      <c r="A54" s="6">
        <v>1210128</v>
      </c>
      <c r="B54" s="7">
        <v>45471</v>
      </c>
      <c r="C54" s="6" t="s">
        <v>42</v>
      </c>
      <c r="D54" s="6">
        <v>7.51</v>
      </c>
      <c r="E54" s="6"/>
      <c r="F54" s="6">
        <v>375.32</v>
      </c>
    </row>
    <row r="55" spans="1:6" ht="15" thickBot="1" x14ac:dyDescent="0.35">
      <c r="A55" s="6">
        <v>1210132</v>
      </c>
      <c r="B55" s="7">
        <v>45471</v>
      </c>
      <c r="C55" s="6" t="s">
        <v>39</v>
      </c>
      <c r="D55" s="6"/>
      <c r="E55" s="6">
        <v>50</v>
      </c>
      <c r="F55" s="6">
        <v>425.32</v>
      </c>
    </row>
    <row r="56" spans="1:6" ht="15" thickBot="1" x14ac:dyDescent="0.35">
      <c r="A56" s="6">
        <v>1210135</v>
      </c>
      <c r="B56" s="7">
        <v>45471</v>
      </c>
      <c r="C56" s="6" t="s">
        <v>40</v>
      </c>
      <c r="D56" s="6">
        <v>7.51</v>
      </c>
      <c r="E56" s="6"/>
      <c r="F56" s="6">
        <v>417.81</v>
      </c>
    </row>
    <row r="57" spans="1:6" ht="15" thickBot="1" x14ac:dyDescent="0.35">
      <c r="A57" s="6">
        <v>1210139</v>
      </c>
      <c r="B57" s="7">
        <v>45471</v>
      </c>
      <c r="C57" s="6" t="s">
        <v>53</v>
      </c>
      <c r="D57" s="6"/>
      <c r="E57" s="6">
        <v>50</v>
      </c>
      <c r="F57" s="6">
        <v>467.81</v>
      </c>
    </row>
    <row r="58" spans="1:6" ht="15" thickBot="1" x14ac:dyDescent="0.35">
      <c r="A58" s="6">
        <v>1210142</v>
      </c>
      <c r="B58" s="7">
        <v>45471</v>
      </c>
      <c r="C58" s="6" t="s">
        <v>54</v>
      </c>
      <c r="D58" s="6">
        <v>7.51</v>
      </c>
      <c r="E58" s="6"/>
      <c r="F58" s="6">
        <v>460.3</v>
      </c>
    </row>
    <row r="59" spans="1:6" ht="15" thickBot="1" x14ac:dyDescent="0.35">
      <c r="A59" s="6">
        <v>1210146</v>
      </c>
      <c r="B59" s="7">
        <v>45471</v>
      </c>
      <c r="C59" s="6" t="s">
        <v>43</v>
      </c>
      <c r="D59" s="6"/>
      <c r="E59" s="6">
        <v>50</v>
      </c>
      <c r="F59" s="6">
        <v>510.3</v>
      </c>
    </row>
    <row r="60" spans="1:6" ht="15" thickBot="1" x14ac:dyDescent="0.35">
      <c r="A60" s="6">
        <v>1210149</v>
      </c>
      <c r="B60" s="7">
        <v>45471</v>
      </c>
      <c r="C60" s="6" t="s">
        <v>44</v>
      </c>
      <c r="D60" s="6">
        <v>7.51</v>
      </c>
      <c r="E60" s="6"/>
      <c r="F60" s="6">
        <v>502.79</v>
      </c>
    </row>
    <row r="61" spans="1:6" ht="15" thickBot="1" x14ac:dyDescent="0.35">
      <c r="A61" s="6">
        <v>1210153</v>
      </c>
      <c r="B61" s="7">
        <v>45471</v>
      </c>
      <c r="C61" s="6" t="s">
        <v>49</v>
      </c>
      <c r="D61" s="6"/>
      <c r="E61" s="6">
        <v>50</v>
      </c>
      <c r="F61" s="6">
        <v>552.79</v>
      </c>
    </row>
    <row r="62" spans="1:6" ht="15" thickBot="1" x14ac:dyDescent="0.35">
      <c r="A62" s="6">
        <v>1210156</v>
      </c>
      <c r="B62" s="7">
        <v>45471</v>
      </c>
      <c r="C62" s="6" t="s">
        <v>50</v>
      </c>
      <c r="D62" s="6">
        <v>7.51</v>
      </c>
      <c r="E62" s="6"/>
      <c r="F62" s="6">
        <v>545.28</v>
      </c>
    </row>
    <row r="63" spans="1:6" ht="15" thickBot="1" x14ac:dyDescent="0.35">
      <c r="A63" s="6">
        <v>1210160</v>
      </c>
      <c r="B63" s="7">
        <v>45471</v>
      </c>
      <c r="C63" s="6" t="s">
        <v>47</v>
      </c>
      <c r="D63" s="6"/>
      <c r="E63" s="6">
        <v>50</v>
      </c>
      <c r="F63" s="6">
        <v>595.28</v>
      </c>
    </row>
    <row r="64" spans="1:6" ht="15" thickBot="1" x14ac:dyDescent="0.35">
      <c r="A64" s="6">
        <v>1210163</v>
      </c>
      <c r="B64" s="7">
        <v>45471</v>
      </c>
      <c r="C64" s="6" t="s">
        <v>48</v>
      </c>
      <c r="D64" s="6">
        <v>7.51</v>
      </c>
      <c r="E64" s="6"/>
      <c r="F64" s="6">
        <v>587.77</v>
      </c>
    </row>
    <row r="65" spans="1:6" ht="15" thickBot="1" x14ac:dyDescent="0.35">
      <c r="A65" s="6">
        <v>1210167</v>
      </c>
      <c r="B65" s="7">
        <v>45471</v>
      </c>
      <c r="C65" s="6" t="s">
        <v>33</v>
      </c>
      <c r="D65" s="6"/>
      <c r="E65" s="6">
        <v>50</v>
      </c>
      <c r="F65" s="6">
        <v>637.77</v>
      </c>
    </row>
    <row r="66" spans="1:6" ht="15" thickBot="1" x14ac:dyDescent="0.35">
      <c r="A66" s="6">
        <v>1210170</v>
      </c>
      <c r="B66" s="7">
        <v>45471</v>
      </c>
      <c r="C66" s="6" t="s">
        <v>34</v>
      </c>
      <c r="D66" s="6">
        <v>7.51</v>
      </c>
      <c r="E66" s="6"/>
      <c r="F66" s="6">
        <v>630.26</v>
      </c>
    </row>
    <row r="67" spans="1:6" ht="15" thickBot="1" x14ac:dyDescent="0.35">
      <c r="A67" s="6">
        <v>1210174</v>
      </c>
      <c r="B67" s="7">
        <v>45471</v>
      </c>
      <c r="C67" s="6" t="s">
        <v>64</v>
      </c>
      <c r="D67" s="6"/>
      <c r="E67" s="6">
        <v>50</v>
      </c>
      <c r="F67" s="6">
        <v>680.26</v>
      </c>
    </row>
    <row r="68" spans="1:6" ht="15" thickBot="1" x14ac:dyDescent="0.35">
      <c r="A68" s="8">
        <v>1210177</v>
      </c>
      <c r="B68" s="9">
        <v>45471</v>
      </c>
      <c r="C68" s="8" t="s">
        <v>65</v>
      </c>
      <c r="D68" s="8">
        <v>7.51</v>
      </c>
      <c r="E68" s="8"/>
      <c r="F68" s="8">
        <v>672.75</v>
      </c>
    </row>
    <row r="69" spans="1:6" ht="15" thickBot="1" x14ac:dyDescent="0.35">
      <c r="A69" s="6">
        <v>1210181</v>
      </c>
      <c r="B69" s="7">
        <v>45471</v>
      </c>
      <c r="C69" s="6" t="s">
        <v>37</v>
      </c>
      <c r="D69" s="6"/>
      <c r="E69" s="6">
        <v>50</v>
      </c>
      <c r="F69" s="6">
        <v>722.75</v>
      </c>
    </row>
    <row r="70" spans="1:6" ht="15" thickBot="1" x14ac:dyDescent="0.35">
      <c r="A70" s="6">
        <v>1210184</v>
      </c>
      <c r="B70" s="7">
        <v>45471</v>
      </c>
      <c r="C70" s="6" t="s">
        <v>38</v>
      </c>
      <c r="D70" s="6">
        <v>7.51</v>
      </c>
      <c r="E70" s="6"/>
      <c r="F70" s="6">
        <v>715.24</v>
      </c>
    </row>
    <row r="71" spans="1:6" ht="15" thickBot="1" x14ac:dyDescent="0.35">
      <c r="A71" s="6">
        <v>1210188</v>
      </c>
      <c r="B71" s="7">
        <v>45471</v>
      </c>
      <c r="C71" s="6" t="s">
        <v>25</v>
      </c>
      <c r="D71" s="6"/>
      <c r="E71" s="6">
        <v>50</v>
      </c>
      <c r="F71" s="6">
        <v>765.24</v>
      </c>
    </row>
    <row r="72" spans="1:6" ht="15" thickBot="1" x14ac:dyDescent="0.35">
      <c r="A72" s="6">
        <v>1210191</v>
      </c>
      <c r="B72" s="7">
        <v>45471</v>
      </c>
      <c r="C72" s="6" t="s">
        <v>26</v>
      </c>
      <c r="D72" s="6">
        <v>7.51</v>
      </c>
      <c r="E72" s="6"/>
      <c r="F72" s="6">
        <v>757.73</v>
      </c>
    </row>
    <row r="73" spans="1:6" ht="15" thickBot="1" x14ac:dyDescent="0.35">
      <c r="A73" s="6">
        <v>1210195</v>
      </c>
      <c r="B73" s="7">
        <v>45471</v>
      </c>
      <c r="C73" s="6" t="s">
        <v>51</v>
      </c>
      <c r="D73" s="6"/>
      <c r="E73" s="6">
        <v>50</v>
      </c>
      <c r="F73" s="6">
        <v>807.73</v>
      </c>
    </row>
    <row r="74" spans="1:6" ht="15" thickBot="1" x14ac:dyDescent="0.35">
      <c r="A74" s="6">
        <v>1210198</v>
      </c>
      <c r="B74" s="7">
        <v>45471</v>
      </c>
      <c r="C74" s="6" t="s">
        <v>52</v>
      </c>
      <c r="D74" s="6">
        <v>7.51</v>
      </c>
      <c r="E74" s="6"/>
      <c r="F74" s="6">
        <v>800.22</v>
      </c>
    </row>
    <row r="75" spans="1:6" x14ac:dyDescent="0.3">
      <c r="A75" s="6"/>
      <c r="B75" s="6"/>
      <c r="C75" s="6"/>
      <c r="D75" s="10">
        <v>1264.79</v>
      </c>
      <c r="E75" s="10">
        <f>2065.01-E11-E24-E47</f>
        <v>1550.0000000000002</v>
      </c>
      <c r="F75" s="10">
        <v>800.22</v>
      </c>
    </row>
    <row r="76" spans="1:6" x14ac:dyDescent="0.3">
      <c r="D76">
        <f>D75-D46-D25</f>
        <v>1149.78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LANDLORD ACC DETAILED VIEW-LEVY</vt:lpstr>
      <vt:lpstr>NOV 25</vt:lpstr>
      <vt:lpstr>October25</vt:lpstr>
      <vt:lpstr>Sept</vt:lpstr>
      <vt:lpstr>August25</vt:lpstr>
      <vt:lpstr>june25</vt:lpstr>
      <vt:lpstr>May25</vt:lpstr>
      <vt:lpstr>April 25</vt:lpstr>
      <vt:lpstr>MARCH 25</vt:lpstr>
      <vt:lpstr>FEB</vt:lpstr>
      <vt:lpstr>January</vt:lpstr>
      <vt:lpstr>OCtober</vt:lpstr>
      <vt:lpstr>September</vt:lpstr>
      <vt:lpstr>August</vt:lpstr>
      <vt:lpstr>july 25</vt:lpstr>
      <vt:lpstr>JUNE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Leosa</dc:creator>
  <cp:lastModifiedBy>Gift Chipunza</cp:lastModifiedBy>
  <cp:lastPrinted>2024-09-23T11:11:22Z</cp:lastPrinted>
  <dcterms:created xsi:type="dcterms:W3CDTF">2023-02-06T07:56:25Z</dcterms:created>
  <dcterms:modified xsi:type="dcterms:W3CDTF">2026-03-21T22:47:12Z</dcterms:modified>
</cp:coreProperties>
</file>