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iftChipunza\Documents\SOFTWARE DOCUMENTATION\"/>
    </mc:Choice>
  </mc:AlternateContent>
  <xr:revisionPtr revIDLastSave="0" documentId="13_ncr:1_{CC0F8EA1-B6FA-4435-BD89-A33FFA38C3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come &amp; exp 12 months new appr" sheetId="26" r:id="rId1"/>
    <sheet name="Income &amp; exp 12 months new  (2)" sheetId="29" r:id="rId2"/>
    <sheet name="LANDLORD ACC DETAILED VIEW-LEVY" sheetId="28" r:id="rId3"/>
    <sheet name="NOV 25" sheetId="23" state="hidden" r:id="rId4"/>
    <sheet name="October25" sheetId="22" state="hidden" r:id="rId5"/>
    <sheet name="Sept" sheetId="21" state="hidden" r:id="rId6"/>
    <sheet name="August25" sheetId="20" state="hidden" r:id="rId7"/>
    <sheet name="june25" sheetId="19" state="hidden" r:id="rId8"/>
    <sheet name="May25" sheetId="18" state="hidden" r:id="rId9"/>
    <sheet name="April 25" sheetId="17" state="hidden" r:id="rId10"/>
    <sheet name="MARCH 25" sheetId="16" state="hidden" r:id="rId11"/>
    <sheet name="FEB" sheetId="15" state="hidden" r:id="rId12"/>
    <sheet name="January" sheetId="14" state="hidden" r:id="rId13"/>
    <sheet name="OCtober" sheetId="11" state="hidden" r:id="rId14"/>
    <sheet name="September" sheetId="10" state="hidden" r:id="rId15"/>
    <sheet name="August" sheetId="9" state="hidden" r:id="rId16"/>
    <sheet name="july 25" sheetId="8" state="hidden" r:id="rId17"/>
    <sheet name="JUNE" sheetId="7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" i="28" l="1"/>
  <c r="G98" i="28"/>
  <c r="X24" i="29" s="1"/>
  <c r="X35" i="29" s="1"/>
  <c r="X37" i="29" s="1"/>
  <c r="H62" i="28"/>
  <c r="H63" i="28" s="1"/>
  <c r="H64" i="28" s="1"/>
  <c r="H65" i="28" s="1"/>
  <c r="H66" i="28" s="1"/>
  <c r="H67" i="28" s="1"/>
  <c r="H68" i="28" s="1"/>
  <c r="H69" i="28" s="1"/>
  <c r="H70" i="28" s="1"/>
  <c r="H71" i="28" s="1"/>
  <c r="H72" i="28" s="1"/>
  <c r="H73" i="28" s="1"/>
  <c r="H74" i="28" s="1"/>
  <c r="H75" i="28" s="1"/>
  <c r="H76" i="28" s="1"/>
  <c r="H77" i="28" s="1"/>
  <c r="H78" i="28" s="1"/>
  <c r="H79" i="28" s="1"/>
  <c r="H80" i="28" s="1"/>
  <c r="H81" i="28" s="1"/>
  <c r="H82" i="28" s="1"/>
  <c r="H83" i="28" s="1"/>
  <c r="H84" i="28" s="1"/>
  <c r="H85" i="28" s="1"/>
  <c r="H86" i="28" s="1"/>
  <c r="H87" i="28" s="1"/>
  <c r="H88" i="28" s="1"/>
  <c r="H89" i="28" s="1"/>
  <c r="H90" i="28" s="1"/>
  <c r="H91" i="28" s="1"/>
  <c r="H92" i="28" s="1"/>
  <c r="H93" i="28" s="1"/>
  <c r="H94" i="28" s="1"/>
  <c r="H95" i="28" s="1"/>
  <c r="H96" i="28" s="1"/>
  <c r="H97" i="28" s="1"/>
  <c r="C96" i="29"/>
  <c r="F82" i="29"/>
  <c r="E82" i="29"/>
  <c r="C82" i="29"/>
  <c r="B82" i="29"/>
  <c r="D81" i="29"/>
  <c r="G81" i="29" s="1"/>
  <c r="D80" i="29"/>
  <c r="G80" i="29" s="1"/>
  <c r="D79" i="29"/>
  <c r="G79" i="29" s="1"/>
  <c r="D78" i="29"/>
  <c r="G78" i="29" s="1"/>
  <c r="D77" i="29"/>
  <c r="G77" i="29" s="1"/>
  <c r="D76" i="29"/>
  <c r="G76" i="29" s="1"/>
  <c r="D75" i="29"/>
  <c r="G75" i="29" s="1"/>
  <c r="D74" i="29"/>
  <c r="G74" i="29" s="1"/>
  <c r="D73" i="29"/>
  <c r="G73" i="29" s="1"/>
  <c r="D72" i="29"/>
  <c r="G72" i="29" s="1"/>
  <c r="D71" i="29"/>
  <c r="G71" i="29" s="1"/>
  <c r="D70" i="29"/>
  <c r="G70" i="29" s="1"/>
  <c r="D69" i="29"/>
  <c r="G69" i="29" s="1"/>
  <c r="D68" i="29"/>
  <c r="G68" i="29" s="1"/>
  <c r="D67" i="29"/>
  <c r="G67" i="29" s="1"/>
  <c r="D66" i="29"/>
  <c r="G66" i="29" s="1"/>
  <c r="D65" i="29"/>
  <c r="G65" i="29" s="1"/>
  <c r="C56" i="29"/>
  <c r="B53" i="29"/>
  <c r="B51" i="29"/>
  <c r="B50" i="29"/>
  <c r="C44" i="29"/>
  <c r="C46" i="29" s="1"/>
  <c r="B44" i="29"/>
  <c r="I37" i="29"/>
  <c r="Y35" i="29"/>
  <c r="Y37" i="29" s="1"/>
  <c r="W35" i="29"/>
  <c r="W37" i="29" s="1"/>
  <c r="U35" i="29"/>
  <c r="U37" i="29" s="1"/>
  <c r="Q35" i="29"/>
  <c r="Q37" i="29" s="1"/>
  <c r="O35" i="29"/>
  <c r="O37" i="29" s="1"/>
  <c r="M35" i="29"/>
  <c r="M37" i="29" s="1"/>
  <c r="T34" i="29"/>
  <c r="B54" i="29" s="1"/>
  <c r="H32" i="29"/>
  <c r="B32" i="29"/>
  <c r="T29" i="29"/>
  <c r="N29" i="29"/>
  <c r="L29" i="29"/>
  <c r="J29" i="29"/>
  <c r="F29" i="29"/>
  <c r="B29" i="29"/>
  <c r="V24" i="29"/>
  <c r="V35" i="29" s="1"/>
  <c r="V37" i="29" s="1"/>
  <c r="T24" i="29"/>
  <c r="T35" i="29" s="1"/>
  <c r="S24" i="29"/>
  <c r="S35" i="29" s="1"/>
  <c r="S37" i="29" s="1"/>
  <c r="R24" i="29"/>
  <c r="R35" i="29" s="1"/>
  <c r="R37" i="29" s="1"/>
  <c r="P24" i="29"/>
  <c r="P35" i="29" s="1"/>
  <c r="P37" i="29" s="1"/>
  <c r="N24" i="29"/>
  <c r="N35" i="29" s="1"/>
  <c r="L24" i="29"/>
  <c r="L35" i="29" s="1"/>
  <c r="K24" i="29"/>
  <c r="K35" i="29" s="1"/>
  <c r="K37" i="29" s="1"/>
  <c r="J24" i="29"/>
  <c r="J35" i="29" s="1"/>
  <c r="H24" i="29"/>
  <c r="H35" i="29" s="1"/>
  <c r="G24" i="29"/>
  <c r="G35" i="29" s="1"/>
  <c r="G37" i="29" s="1"/>
  <c r="F24" i="29"/>
  <c r="F35" i="29" s="1"/>
  <c r="E24" i="29"/>
  <c r="E35" i="29" s="1"/>
  <c r="E37" i="29" s="1"/>
  <c r="D24" i="29"/>
  <c r="D35" i="29" s="1"/>
  <c r="D37" i="29" s="1"/>
  <c r="C24" i="29"/>
  <c r="C26" i="29" s="1"/>
  <c r="B24" i="29"/>
  <c r="B26" i="29" s="1"/>
  <c r="X14" i="26"/>
  <c r="F37" i="29" l="1"/>
  <c r="B52" i="29"/>
  <c r="J37" i="29"/>
  <c r="C58" i="29"/>
  <c r="B49" i="29"/>
  <c r="L37" i="29"/>
  <c r="N37" i="29"/>
  <c r="T37" i="29"/>
  <c r="H37" i="29"/>
  <c r="B90" i="29"/>
  <c r="B95" i="29"/>
  <c r="G82" i="29"/>
  <c r="B35" i="29"/>
  <c r="B55" i="29" s="1"/>
  <c r="B45" i="29"/>
  <c r="B46" i="29" s="1"/>
  <c r="D82" i="29"/>
  <c r="C35" i="29"/>
  <c r="C37" i="29" s="1"/>
  <c r="C39" i="29" s="1"/>
  <c r="C86" i="26"/>
  <c r="F72" i="26"/>
  <c r="E72" i="26"/>
  <c r="X25" i="26" s="1"/>
  <c r="X27" i="26" s="1"/>
  <c r="C72" i="26"/>
  <c r="B72" i="26"/>
  <c r="D71" i="26"/>
  <c r="G71" i="26" s="1"/>
  <c r="D70" i="26"/>
  <c r="G70" i="26" s="1"/>
  <c r="D69" i="26"/>
  <c r="G69" i="26" s="1"/>
  <c r="D68" i="26"/>
  <c r="G68" i="26" s="1"/>
  <c r="D67" i="26"/>
  <c r="G67" i="26" s="1"/>
  <c r="D66" i="26"/>
  <c r="G66" i="26" s="1"/>
  <c r="D65" i="26"/>
  <c r="G65" i="26" s="1"/>
  <c r="D64" i="26"/>
  <c r="G64" i="26" s="1"/>
  <c r="D63" i="26"/>
  <c r="G63" i="26" s="1"/>
  <c r="D62" i="26"/>
  <c r="G62" i="26" s="1"/>
  <c r="D61" i="26"/>
  <c r="G61" i="26" s="1"/>
  <c r="D60" i="26"/>
  <c r="G60" i="26" s="1"/>
  <c r="D59" i="26"/>
  <c r="G59" i="26" s="1"/>
  <c r="D58" i="26"/>
  <c r="G58" i="26" s="1"/>
  <c r="D57" i="26"/>
  <c r="G57" i="26" s="1"/>
  <c r="D56" i="26"/>
  <c r="G56" i="26" s="1"/>
  <c r="D55" i="26"/>
  <c r="C46" i="26"/>
  <c r="B43" i="26"/>
  <c r="B41" i="26"/>
  <c r="B40" i="26"/>
  <c r="C34" i="26"/>
  <c r="C36" i="26" s="1"/>
  <c r="B34" i="26"/>
  <c r="I27" i="26"/>
  <c r="Y25" i="26"/>
  <c r="Y27" i="26" s="1"/>
  <c r="W25" i="26"/>
  <c r="W27" i="26" s="1"/>
  <c r="U25" i="26"/>
  <c r="U27" i="26" s="1"/>
  <c r="Q25" i="26"/>
  <c r="Q27" i="26" s="1"/>
  <c r="O25" i="26"/>
  <c r="O27" i="26" s="1"/>
  <c r="M25" i="26"/>
  <c r="M27" i="26" s="1"/>
  <c r="T24" i="26"/>
  <c r="B44" i="26" s="1"/>
  <c r="H22" i="26"/>
  <c r="B22" i="26"/>
  <c r="T19" i="26"/>
  <c r="N19" i="26"/>
  <c r="L19" i="26"/>
  <c r="J19" i="26"/>
  <c r="F19" i="26"/>
  <c r="B19" i="26"/>
  <c r="V14" i="26"/>
  <c r="V25" i="26" s="1"/>
  <c r="V27" i="26" s="1"/>
  <c r="T14" i="26"/>
  <c r="T25" i="26" s="1"/>
  <c r="S14" i="26"/>
  <c r="S25" i="26" s="1"/>
  <c r="S27" i="26" s="1"/>
  <c r="R14" i="26"/>
  <c r="R25" i="26" s="1"/>
  <c r="R27" i="26" s="1"/>
  <c r="P14" i="26"/>
  <c r="P25" i="26" s="1"/>
  <c r="P27" i="26" s="1"/>
  <c r="N14" i="26"/>
  <c r="N25" i="26" s="1"/>
  <c r="L14" i="26"/>
  <c r="L25" i="26" s="1"/>
  <c r="K14" i="26"/>
  <c r="K25" i="26" s="1"/>
  <c r="K27" i="26" s="1"/>
  <c r="J14" i="26"/>
  <c r="J25" i="26" s="1"/>
  <c r="H14" i="26"/>
  <c r="H25" i="26" s="1"/>
  <c r="G14" i="26"/>
  <c r="G25" i="26" s="1"/>
  <c r="G27" i="26" s="1"/>
  <c r="F14" i="26"/>
  <c r="F25" i="26" s="1"/>
  <c r="E14" i="26"/>
  <c r="E25" i="26" s="1"/>
  <c r="E27" i="26" s="1"/>
  <c r="D14" i="26"/>
  <c r="D25" i="26" s="1"/>
  <c r="D27" i="26" s="1"/>
  <c r="C14" i="26"/>
  <c r="C16" i="26" s="1"/>
  <c r="B14" i="26"/>
  <c r="B16" i="26" s="1"/>
  <c r="B56" i="29" l="1"/>
  <c r="B58" i="29" s="1"/>
  <c r="B94" i="29" s="1"/>
  <c r="B96" i="29" s="1"/>
  <c r="B37" i="29"/>
  <c r="B39" i="29" s="1"/>
  <c r="D23" i="29" s="1"/>
  <c r="D26" i="29" s="1"/>
  <c r="D39" i="29" s="1"/>
  <c r="F23" i="29" s="1"/>
  <c r="F26" i="29" s="1"/>
  <c r="F39" i="29" s="1"/>
  <c r="H23" i="29" s="1"/>
  <c r="H26" i="29" s="1"/>
  <c r="H39" i="29" s="1"/>
  <c r="J23" i="29" s="1"/>
  <c r="J26" i="29" s="1"/>
  <c r="J39" i="29" s="1"/>
  <c r="L23" i="29" s="1"/>
  <c r="L26" i="29" s="1"/>
  <c r="L39" i="29" s="1"/>
  <c r="N23" i="29" s="1"/>
  <c r="N26" i="29" s="1"/>
  <c r="N39" i="29" s="1"/>
  <c r="P23" i="29" s="1"/>
  <c r="P26" i="29" s="1"/>
  <c r="P39" i="29" s="1"/>
  <c r="R23" i="29" s="1"/>
  <c r="R26" i="29" s="1"/>
  <c r="R39" i="29" s="1"/>
  <c r="T23" i="29" s="1"/>
  <c r="T26" i="29" s="1"/>
  <c r="T39" i="29" s="1"/>
  <c r="V23" i="29" s="1"/>
  <c r="V26" i="29" s="1"/>
  <c r="V39" i="29" s="1"/>
  <c r="X23" i="29" s="1"/>
  <c r="X26" i="29" s="1"/>
  <c r="X39" i="29" s="1"/>
  <c r="E23" i="29"/>
  <c r="E26" i="29" s="1"/>
  <c r="E39" i="29" s="1"/>
  <c r="G23" i="29" s="1"/>
  <c r="G26" i="29" s="1"/>
  <c r="G39" i="29" s="1"/>
  <c r="I23" i="29" s="1"/>
  <c r="I26" i="29" s="1"/>
  <c r="I39" i="29" s="1"/>
  <c r="K23" i="29" s="1"/>
  <c r="K26" i="29" s="1"/>
  <c r="K39" i="29" s="1"/>
  <c r="M23" i="29" s="1"/>
  <c r="M26" i="29" s="1"/>
  <c r="M39" i="29" s="1"/>
  <c r="O23" i="29" s="1"/>
  <c r="O26" i="29" s="1"/>
  <c r="O39" i="29" s="1"/>
  <c r="Q23" i="29" s="1"/>
  <c r="Q26" i="29" s="1"/>
  <c r="Q39" i="29" s="1"/>
  <c r="S23" i="29" s="1"/>
  <c r="S26" i="29" s="1"/>
  <c r="S39" i="29" s="1"/>
  <c r="U23" i="29" s="1"/>
  <c r="U26" i="29" s="1"/>
  <c r="U39" i="29" s="1"/>
  <c r="W23" i="29" s="1"/>
  <c r="W26" i="29" s="1"/>
  <c r="W39" i="29" s="1"/>
  <c r="Y23" i="29" s="1"/>
  <c r="Y26" i="29" s="1"/>
  <c r="Y39" i="29" s="1"/>
  <c r="C89" i="29"/>
  <c r="C91" i="29" s="1"/>
  <c r="C98" i="29" s="1"/>
  <c r="C48" i="26"/>
  <c r="N27" i="26"/>
  <c r="B42" i="26"/>
  <c r="B25" i="26"/>
  <c r="B27" i="26" s="1"/>
  <c r="B29" i="26" s="1"/>
  <c r="D13" i="26" s="1"/>
  <c r="D16" i="26" s="1"/>
  <c r="D29" i="26" s="1"/>
  <c r="F13" i="26" s="1"/>
  <c r="F16" i="26" s="1"/>
  <c r="F27" i="26"/>
  <c r="B39" i="26"/>
  <c r="H27" i="26"/>
  <c r="L27" i="26"/>
  <c r="D72" i="26"/>
  <c r="J27" i="26"/>
  <c r="B35" i="26"/>
  <c r="B36" i="26" s="1"/>
  <c r="G55" i="26"/>
  <c r="T27" i="26"/>
  <c r="C25" i="26"/>
  <c r="C27" i="26" s="1"/>
  <c r="C29" i="26" s="1"/>
  <c r="B89" i="29" l="1"/>
  <c r="B91" i="29" s="1"/>
  <c r="B98" i="29" s="1"/>
  <c r="B45" i="26"/>
  <c r="B46" i="26" s="1"/>
  <c r="B48" i="26" s="1"/>
  <c r="F29" i="26"/>
  <c r="H13" i="26" s="1"/>
  <c r="H16" i="26" s="1"/>
  <c r="H29" i="26" s="1"/>
  <c r="J13" i="26" s="1"/>
  <c r="J16" i="26" s="1"/>
  <c r="J29" i="26" s="1"/>
  <c r="L13" i="26" s="1"/>
  <c r="L16" i="26" s="1"/>
  <c r="L29" i="26" s="1"/>
  <c r="N13" i="26" s="1"/>
  <c r="N16" i="26" s="1"/>
  <c r="N29" i="26" s="1"/>
  <c r="P13" i="26" s="1"/>
  <c r="P16" i="26" s="1"/>
  <c r="P29" i="26" s="1"/>
  <c r="R13" i="26" s="1"/>
  <c r="R16" i="26" s="1"/>
  <c r="R29" i="26" s="1"/>
  <c r="T13" i="26" s="1"/>
  <c r="T16" i="26" s="1"/>
  <c r="T29" i="26" s="1"/>
  <c r="V13" i="26" s="1"/>
  <c r="V16" i="26" s="1"/>
  <c r="V29" i="26" s="1"/>
  <c r="X13" i="26" s="1"/>
  <c r="X16" i="26" s="1"/>
  <c r="X29" i="26" s="1"/>
  <c r="C79" i="26"/>
  <c r="C81" i="26" s="1"/>
  <c r="C88" i="26" s="1"/>
  <c r="E13" i="26"/>
  <c r="E16" i="26" s="1"/>
  <c r="E29" i="26" s="1"/>
  <c r="G13" i="26" s="1"/>
  <c r="G16" i="26" s="1"/>
  <c r="G29" i="26" s="1"/>
  <c r="I13" i="26" s="1"/>
  <c r="I16" i="26" s="1"/>
  <c r="I29" i="26" s="1"/>
  <c r="K13" i="26" s="1"/>
  <c r="K16" i="26" s="1"/>
  <c r="K29" i="26" s="1"/>
  <c r="M13" i="26" s="1"/>
  <c r="M16" i="26" s="1"/>
  <c r="M29" i="26" s="1"/>
  <c r="O13" i="26" s="1"/>
  <c r="O16" i="26" s="1"/>
  <c r="O29" i="26" s="1"/>
  <c r="Q13" i="26" s="1"/>
  <c r="Q16" i="26" s="1"/>
  <c r="Q29" i="26" s="1"/>
  <c r="S13" i="26" s="1"/>
  <c r="S16" i="26" s="1"/>
  <c r="S29" i="26" s="1"/>
  <c r="U13" i="26" s="1"/>
  <c r="U16" i="26" s="1"/>
  <c r="U29" i="26" s="1"/>
  <c r="W13" i="26" s="1"/>
  <c r="W16" i="26" s="1"/>
  <c r="W29" i="26" s="1"/>
  <c r="Y13" i="26" s="1"/>
  <c r="Y16" i="26" s="1"/>
  <c r="Y29" i="26" s="1"/>
  <c r="B85" i="26"/>
  <c r="B80" i="26"/>
  <c r="G72" i="26"/>
  <c r="B84" i="26" l="1"/>
  <c r="B86" i="26" s="1"/>
  <c r="B79" i="26"/>
  <c r="B81" i="26" s="1"/>
  <c r="B88" i="26" l="1"/>
  <c r="T29" i="23"/>
  <c r="T28" i="23"/>
  <c r="U27" i="23"/>
  <c r="W29" i="22"/>
  <c r="X28" i="22"/>
  <c r="W28" i="22"/>
  <c r="X29" i="21"/>
  <c r="X28" i="21"/>
  <c r="E44" i="8"/>
  <c r="Y29" i="8"/>
  <c r="Y28" i="8"/>
  <c r="P30" i="19"/>
  <c r="P29" i="19"/>
  <c r="P28" i="19"/>
  <c r="X30" i="18"/>
  <c r="X29" i="18"/>
  <c r="X28" i="18"/>
  <c r="W30" i="17"/>
  <c r="W29" i="17"/>
  <c r="W28" i="17"/>
  <c r="W30" i="16"/>
  <c r="W29" i="16"/>
  <c r="W28" i="16"/>
  <c r="G12" i="15"/>
  <c r="G13" i="15"/>
  <c r="G14" i="15"/>
  <c r="G15" i="15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11" i="15"/>
  <c r="G10" i="15"/>
  <c r="W30" i="15"/>
  <c r="W29" i="15"/>
  <c r="W28" i="15"/>
  <c r="X30" i="14" l="1"/>
  <c r="X29" i="14"/>
  <c r="X28" i="14"/>
  <c r="X30" i="11" l="1"/>
  <c r="X29" i="11"/>
  <c r="X28" i="11"/>
  <c r="X30" i="10"/>
  <c r="X29" i="10"/>
  <c r="X28" i="10"/>
  <c r="G21" i="9"/>
  <c r="X30" i="9"/>
  <c r="X29" i="9"/>
  <c r="X28" i="9"/>
  <c r="X28" i="7" l="1"/>
  <c r="X29" i="7" s="1"/>
  <c r="H13" i="7"/>
  <c r="D76" i="7"/>
  <c r="E75" i="7"/>
</calcChain>
</file>

<file path=xl/sharedStrings.xml><?xml version="1.0" encoding="utf-8"?>
<sst xmlns="http://schemas.openxmlformats.org/spreadsheetml/2006/main" count="1710" uniqueCount="481">
  <si>
    <t>INCOME</t>
  </si>
  <si>
    <t>USD</t>
  </si>
  <si>
    <t xml:space="preserve">Balance b/forward      </t>
  </si>
  <si>
    <t>Amount before Expenditure</t>
  </si>
  <si>
    <t>EXPENDITURE</t>
  </si>
  <si>
    <t>Management Commission  15% ( Inc V A T )</t>
  </si>
  <si>
    <t>Total Expenditure</t>
  </si>
  <si>
    <t>Balance c/f</t>
  </si>
  <si>
    <t>Balance B/F</t>
  </si>
  <si>
    <t>Charge</t>
  </si>
  <si>
    <t>Amount Due</t>
  </si>
  <si>
    <t>Amount Paid</t>
  </si>
  <si>
    <t>Carried Forward</t>
  </si>
  <si>
    <t xml:space="preserve">Total </t>
  </si>
  <si>
    <t>Debtors and Cash balances</t>
  </si>
  <si>
    <t xml:space="preserve">Cash balances  </t>
  </si>
  <si>
    <t>Levies in arrears</t>
  </si>
  <si>
    <t>Creditors</t>
  </si>
  <si>
    <t xml:space="preserve">Prepayments in levies </t>
  </si>
  <si>
    <t xml:space="preserve">Net Working Capital </t>
  </si>
  <si>
    <t>Statement</t>
  </si>
  <si>
    <r>
      <t>Account Currency:</t>
    </r>
    <r>
      <rPr>
        <sz val="8"/>
        <color rgb="FF616669"/>
        <rFont val="Verdana"/>
        <family val="2"/>
      </rPr>
      <t>USD</t>
    </r>
  </si>
  <si>
    <t>ID</t>
  </si>
  <si>
    <t>Date</t>
  </si>
  <si>
    <t>Description</t>
  </si>
  <si>
    <t>Debit</t>
  </si>
  <si>
    <t>Credit</t>
  </si>
  <si>
    <t>Balance</t>
  </si>
  <si>
    <t>Balance brought forward</t>
  </si>
  <si>
    <t>Roll Over Summary</t>
  </si>
  <si>
    <t>Currency: USD</t>
  </si>
  <si>
    <t>LeaseID</t>
  </si>
  <si>
    <t>Tenant</t>
  </si>
  <si>
    <t>Amount Charged</t>
  </si>
  <si>
    <t>Repairs and maintanance</t>
  </si>
  <si>
    <t xml:space="preserve"> Levies</t>
  </si>
  <si>
    <t>Salaries</t>
  </si>
  <si>
    <r>
      <t>Account Currency:</t>
    </r>
    <r>
      <rPr>
        <sz val="8"/>
        <color rgb="FF616669"/>
        <rFont val="Verdana"/>
        <family val="2"/>
      </rPr>
      <t>ZIG</t>
    </r>
  </si>
  <si>
    <t>ZIG</t>
  </si>
  <si>
    <r>
      <t>Account Holder:</t>
    </r>
    <r>
      <rPr>
        <sz val="8"/>
        <color rgb="FF616669"/>
        <rFont val="Verdana"/>
        <family val="2"/>
      </rPr>
      <t> Coronation Gardens Onwers Association</t>
    </r>
  </si>
  <si>
    <r>
      <t>Account ID:</t>
    </r>
    <r>
      <rPr>
        <sz val="8"/>
        <color rgb="FF616669"/>
        <rFont val="Verdana"/>
        <family val="2"/>
      </rPr>
      <t>58345</t>
    </r>
  </si>
  <si>
    <r>
      <t>Transaction Period:</t>
    </r>
    <r>
      <rPr>
        <sz val="8"/>
        <color rgb="FF616669"/>
        <rFont val="Verdana"/>
        <family val="2"/>
      </rPr>
      <t>2024-06-01 - 2024-06-30</t>
    </r>
  </si>
  <si>
    <t>Journal ref-cash received from previous management team-Coronation Gardens</t>
  </si>
  <si>
    <t>Payment Leaseid-5817 Agnes Furidze 1 Coronation Ref-LEVY - 1 CORONATION</t>
  </si>
  <si>
    <t>Levy Commission Leaseid-5817 Ref-LEVY - 1 CORONATION</t>
  </si>
  <si>
    <t>Payment Leaseid-5819 Eva Mutangadura 2 Coronation Ref-LEVY - 2 CORONATION</t>
  </si>
  <si>
    <t>Levy Commission Leaseid-5819 Ref-LEVY - 2 CORONATION</t>
  </si>
  <si>
    <t>Payment Leaseid-5820 Kudzanayi Kachere 3 Coronation Ref-LEVY - 3 CORONATION</t>
  </si>
  <si>
    <t>Levy Commission Leaseid-5820 Ref-LEVY - 3 CORONATION</t>
  </si>
  <si>
    <t>Payment Leaseid-5821 Hebros Dubai 4 Coronation Ref-LEVY - 4 CORONATION</t>
  </si>
  <si>
    <t>Levy Commission Leaseid-5821 Ref-LEVY - 4 CORONATION</t>
  </si>
  <si>
    <t>Payment Leaseid-5822 Tatenda Ngowe 5 Coronation Ref-LEVY - 5 CORONATION</t>
  </si>
  <si>
    <t>Levy Commission Leaseid-5822 Ref-LEVY - 5 CORONATION</t>
  </si>
  <si>
    <t>Payment Leaseid-5823 Maud Silibaziso 6 Coronation Ref-LEVY - 6 CORONATION</t>
  </si>
  <si>
    <t>Levy Commission Leaseid-5823 Ref-LEVY - 6 CORONATION</t>
  </si>
  <si>
    <t>Payment Leaseid-5824 Gibson Taruwinga 7 Coronation Ref-LEVY - 7 CORONATION</t>
  </si>
  <si>
    <t>Levy Commission Leaseid-5824 Ref-LEVY - 7 CORONATION</t>
  </si>
  <si>
    <t>Payment Leaseid-5825 Lody Machiwenyika 8 Coronation Ref-LEVY - 8 CORONATION</t>
  </si>
  <si>
    <t>Levy Commission Leaseid-5825 Ref-LEVY - 8 CORONATION</t>
  </si>
  <si>
    <t>Payment Leaseid-5827 Dorothy R. S Makoni 10 Coronation Ref-LEVY - 10 CORONATION</t>
  </si>
  <si>
    <t>Levy Commission Leaseid-5827 Ref-LEVY - 10 CORONATION</t>
  </si>
  <si>
    <t>Payment Leaseid-5828 Farai Chivaura 11 Coronation Ref-LEVY - 11 CORONATION</t>
  </si>
  <si>
    <t>Levy Commission Leaseid-5828 Ref-LEVY - 11 CORONATION</t>
  </si>
  <si>
    <t>Payment Leaseid-5829 Rose Chanakira 12 Coronation Ref-LEVY - 12 CORONATION</t>
  </si>
  <si>
    <t>Levy Commission Leaseid-5829 Ref-LEVY - 12 CORONATION</t>
  </si>
  <si>
    <t>Payment Leaseid-5830 Siketiwe Marima 13 Coronation Ref-LEVY - 13 CORONATION</t>
  </si>
  <si>
    <t>Levy Commission Leaseid-5830 Ref-LEVY - 13 CORONATION</t>
  </si>
  <si>
    <t>Payment Leaseid-5831 Phillers Gwengo 14 Coronation Ref-LEVY - 14 CORONATION</t>
  </si>
  <si>
    <t>Levy Commission Leaseid-5831 Ref-LEVY - 14 CORONATION</t>
  </si>
  <si>
    <t>Payment Leaseid-5832 Toko Muodzi Ross 15 Coronation Gardens Ref-LEVY - 15 CORONATION</t>
  </si>
  <si>
    <t>Levy Commission Leaseid-5832 Ref-LEVY - 15 CORONATION</t>
  </si>
  <si>
    <t>Payment Leaseid-5833 Emeldah Paradza 16 Coronation Ref-LEVY - 16 CORONATION</t>
  </si>
  <si>
    <t>Levy Commission Leaseid-5833 Ref-LEVY - 16 CORONATION</t>
  </si>
  <si>
    <t>Payment Leaseid-5834 Margaret Mushayi 17 Coronation Ref-LEVY - 17 CORONATION</t>
  </si>
  <si>
    <t>Levy Commission Leaseid-5834 Ref-LEVY - 17 CORONATION</t>
  </si>
  <si>
    <t>Payment Leaseid-5821 Hebros Dubai 4 Coronation Ref-LEVY-4 CORONATION</t>
  </si>
  <si>
    <t>Levy Commission Leaseid-5821 Ref-LEVY-4 CORONATION</t>
  </si>
  <si>
    <t>Journal ref-mispost reversed</t>
  </si>
  <si>
    <t>Journal ref-mispost reversed-4 Coronation commission &amp; vat</t>
  </si>
  <si>
    <t>Payment Ref-STAFF SALARIES</t>
  </si>
  <si>
    <t>Payment Ref-ZESA PURCHASE</t>
  </si>
  <si>
    <t>Payment Ref-RACK ALIGNMENT</t>
  </si>
  <si>
    <t>Payment Ref-ROAD REPAIRS</t>
  </si>
  <si>
    <t>Journal ref-GATE REPAIRS</t>
  </si>
  <si>
    <t>Payment Leaseid-5826 Unit 9 Coronation Gardens Ref-LEVY - 9 CORONATION</t>
  </si>
  <si>
    <t>Levy Commission Leaseid-5826 Ref-LEVY - 9 CORONATION</t>
  </si>
  <si>
    <r>
      <t>Account ID:</t>
    </r>
    <r>
      <rPr>
        <sz val="8"/>
        <color rgb="FF616669"/>
        <rFont val="Verdana"/>
        <family val="2"/>
      </rPr>
      <t>58344</t>
    </r>
  </si>
  <si>
    <t>landlord - Coronation Gardens Onwers Association</t>
  </si>
  <si>
    <t>Period: 2024-06-01 to 2024-06-30</t>
  </si>
  <si>
    <t>Property - Coronation Gardens, Greendale, Harare</t>
  </si>
  <si>
    <t>Agnes Furidze 1 Coronation</t>
  </si>
  <si>
    <t>Eva Mutangadura 2 Coronation</t>
  </si>
  <si>
    <t>Kudzanayi Kachere 3 Coronation</t>
  </si>
  <si>
    <t>Hebros Dubai 4 Coronation</t>
  </si>
  <si>
    <t>Tatenda Ngowe 5 Coronation</t>
  </si>
  <si>
    <t>Maud Silibaziso 6 Coronation</t>
  </si>
  <si>
    <t>Gibson Taruwinga 7 Coronation</t>
  </si>
  <si>
    <t>Lody Machiwenyika 8 Coronation</t>
  </si>
  <si>
    <t>Unit 9 Coronation Gardens</t>
  </si>
  <si>
    <t>Dorothy R. S Makoni 10 Coronation</t>
  </si>
  <si>
    <t>Farai Chivaura 11 Coronation</t>
  </si>
  <si>
    <t>Rose Chanakira 12 Coronation</t>
  </si>
  <si>
    <t>Siketiwe Marima 13 Coronation</t>
  </si>
  <si>
    <t>Phillers Gwengo 14 Coronation</t>
  </si>
  <si>
    <t>Toko Muodzi Ross 15 Coronation Gardens</t>
  </si>
  <si>
    <t>Emeldah Paradza 16 Coronation</t>
  </si>
  <si>
    <t>Margaret Mushayi 17 Coronation</t>
  </si>
  <si>
    <t>Journal ref-STAFF SALARIES</t>
  </si>
  <si>
    <t>Payment Leaseid-5820 Kudzanayi Kachere 3 Coronation Ref-LEVY-KACHERE K-3 CORONATION-TRANSFER-07/08/24</t>
  </si>
  <si>
    <t>Levy Commission Leaseid-5820 Ref-LEVY-KACHERE K-3 CORONATION-TRANSFER-07/08/24</t>
  </si>
  <si>
    <t>Payment Leaseid-5824 Gibson Taruwinga 7 Coronation Ref-LEVY-TARUWINGA G-7 CORONATION-TRANSFER-09/08/24</t>
  </si>
  <si>
    <t>Levy Commission Leaseid-5824 Ref-LEVY-TARUWINGA G-7 CORONATION-TRANSFER-09/08/24</t>
  </si>
  <si>
    <t>Payment Leaseid-5821 Hebros Dubai 4 Coronation Ref-LEVY 4 CORONATION DUBAI CASH 28/8/24</t>
  </si>
  <si>
    <t>Levy Commission Leaseid-5821 Ref-LEVY 4 CORONATION DUBAI CASH 28/8/24</t>
  </si>
  <si>
    <r>
      <t>Account Holder:</t>
    </r>
    <r>
      <rPr>
        <sz val="9"/>
        <color rgb="FF616669"/>
        <rFont val="Verdana"/>
        <family val="2"/>
      </rPr>
      <t> Coronation Gardens Onwers Association</t>
    </r>
  </si>
  <si>
    <r>
      <t>Account ID:</t>
    </r>
    <r>
      <rPr>
        <sz val="9"/>
        <color rgb="FF616669"/>
        <rFont val="Verdana"/>
        <family val="2"/>
      </rPr>
      <t>58345</t>
    </r>
  </si>
  <si>
    <r>
      <t>Account Currency:</t>
    </r>
    <r>
      <rPr>
        <sz val="9"/>
        <color rgb="FF616669"/>
        <rFont val="Verdana"/>
        <family val="2"/>
      </rPr>
      <t>USD</t>
    </r>
  </si>
  <si>
    <r>
      <t>Transaction Period:</t>
    </r>
    <r>
      <rPr>
        <sz val="9"/>
        <color rgb="FF616669"/>
        <rFont val="Verdana"/>
        <family val="2"/>
      </rPr>
      <t>2024-08-01 - 2024-08-31</t>
    </r>
  </si>
  <si>
    <r>
      <t>Account ID:</t>
    </r>
    <r>
      <rPr>
        <sz val="9"/>
        <color rgb="FF616669"/>
        <rFont val="Verdana"/>
        <family val="2"/>
      </rPr>
      <t>58344</t>
    </r>
  </si>
  <si>
    <r>
      <t>Account Currency:</t>
    </r>
    <r>
      <rPr>
        <sz val="9"/>
        <color rgb="FF616669"/>
        <rFont val="Verdana"/>
        <family val="2"/>
      </rPr>
      <t>ZIG</t>
    </r>
  </si>
  <si>
    <t>Period: 2024-08-01 to 2024-08-31</t>
  </si>
  <si>
    <t>Payment Ref-UTILITIES-MURARA BROOM &amp; RAKE</t>
  </si>
  <si>
    <t>Payment Leaseid-5817 Agnes Furidze 1 Coronation Ref-SEPT&amp;OCT LEVY - 1 CORONATION/transfer 23.8.24</t>
  </si>
  <si>
    <t>Levy Commission Leaseid-5817 Ref-SEPT&amp;OCT LEVY - 1 CORONATION/transfer 23.8.24</t>
  </si>
  <si>
    <t>Payment Ref-CONEX MIRROR</t>
  </si>
  <si>
    <t>Payment Leaseid-5821 Hebros Dubai 4 Coronation Ref-LEVY-DUBAI D-4 CORONATION-24/09/24-CASH</t>
  </si>
  <si>
    <t>Levy Commission Leaseid-5821 Ref-LEVY-DUBAI D-4 CORONATION-24/09/24-CASH</t>
  </si>
  <si>
    <r>
      <t>Transaction Period:</t>
    </r>
    <r>
      <rPr>
        <sz val="9"/>
        <color rgb="FF616669"/>
        <rFont val="Verdana"/>
        <family val="2"/>
      </rPr>
      <t>2024-09-01 - 2024-09-30</t>
    </r>
  </si>
  <si>
    <t>Period: 2024-09-01 to 2024-09-30</t>
  </si>
  <si>
    <t>Utilities</t>
  </si>
  <si>
    <t>Payment Ref-KWARIRIMA LOVEMORE-SALARY</t>
  </si>
  <si>
    <r>
      <t>Transaction Period:</t>
    </r>
    <r>
      <rPr>
        <sz val="9"/>
        <color rgb="FF616669"/>
        <rFont val="Verdana"/>
        <family val="2"/>
      </rPr>
      <t>2024-10-01 - 2024-10-31</t>
    </r>
  </si>
  <si>
    <t>Period: 2024-10-01 to 2024-10-31</t>
  </si>
  <si>
    <t>January</t>
  </si>
  <si>
    <t>Payment Leaseid-5817 Agnes Furidze 1 Coronation Ref-LEVY-FURIDZE A-1 CORONATION-TRANSFER-03/01/25</t>
  </si>
  <si>
    <t>Levy Commission Leaseid-5817 Ref-LEVY-FURIDZE A-1 CORONATION-TRANSFER-03/01/25</t>
  </si>
  <si>
    <t>Payment Ref-GATE REPAIRS</t>
  </si>
  <si>
    <t>Payment Ref-PLUMBING NON BOREHOLE WORKING</t>
  </si>
  <si>
    <t>Payment Ref-PAYROLL LICENSE FEES</t>
  </si>
  <si>
    <t>Payment Ref-PURCHASE OF BROOMS &amp; MOPS</t>
  </si>
  <si>
    <r>
      <t>Account Holder:</t>
    </r>
    <r>
      <rPr>
        <sz val="10"/>
        <color rgb="FF616669"/>
        <rFont val="Verdana"/>
        <family val="2"/>
      </rPr>
      <t> Coronation Gardens Onwers Association</t>
    </r>
  </si>
  <si>
    <r>
      <t>Account ID:</t>
    </r>
    <r>
      <rPr>
        <sz val="10"/>
        <color rgb="FF616669"/>
        <rFont val="Verdana"/>
        <family val="2"/>
      </rPr>
      <t>58345</t>
    </r>
  </si>
  <si>
    <r>
      <t>Account Currency:</t>
    </r>
    <r>
      <rPr>
        <sz val="10"/>
        <color rgb="FF616669"/>
        <rFont val="Verdana"/>
        <family val="2"/>
      </rPr>
      <t>USD</t>
    </r>
  </si>
  <si>
    <r>
      <t>Transaction Period:</t>
    </r>
    <r>
      <rPr>
        <sz val="10"/>
        <color rgb="FF616669"/>
        <rFont val="Verdana"/>
        <family val="2"/>
      </rPr>
      <t>2025-01-01 - 2025-01-31</t>
    </r>
  </si>
  <si>
    <r>
      <t>Transaction Period:</t>
    </r>
    <r>
      <rPr>
        <sz val="9"/>
        <color rgb="FF616669"/>
        <rFont val="Verdana"/>
        <family val="2"/>
      </rPr>
      <t>2025-01-01 - 2025-01-31</t>
    </r>
  </si>
  <si>
    <t>Period: 2025-01-01 to 2025-01-31</t>
  </si>
  <si>
    <t>TOTAL</t>
  </si>
  <si>
    <t xml:space="preserve">EXPENDITURE </t>
  </si>
  <si>
    <t>Balance C/F</t>
  </si>
  <si>
    <t>February</t>
  </si>
  <si>
    <t>ZWG</t>
  </si>
  <si>
    <t>Payment Leaseid-5827 Dorothy R. S Makoni 10 Coronation Ref-LEVY 10 CORONATION MAKONI CASH</t>
  </si>
  <si>
    <t>Levy Commission Leaseid-5827 Ref-LEVY 10 CORONATION MAKONI CASH</t>
  </si>
  <si>
    <t>Payment Leaseid-5834 Margaret Mushayi 17 Coronation Ref-LEVY 17 CORONATION MUSHAYI CASH</t>
  </si>
  <si>
    <t>Levy Commission Leaseid-5834 Ref-LEVY 17 CORONATION MUSHAYI CASH</t>
  </si>
  <si>
    <t>Payment Leaseid-5833 Emeldah Paradza 16 Coronation Ref-LEVY 16 CORONATION PARADZA CASH</t>
  </si>
  <si>
    <t>Levy Commission Leaseid-5833 Ref-LEVY 16 CORONATION PARADZA CASH</t>
  </si>
  <si>
    <t>Payment Leaseid-5829 Rose Chanakira 12 Coronation Ref-LEVY CHANAKIRA 12 CORONATION CASH</t>
  </si>
  <si>
    <t>Levy Commission Leaseid-5829 Ref-LEVY CHANAKIRA 12 CORONATION CASH</t>
  </si>
  <si>
    <t>Payment Leaseid-5830 Siketiwe Marima 13 Coronation Ref-LEVY 13 CORONATION SIKETIWE CASH</t>
  </si>
  <si>
    <t>Levy Commission Leaseid-5830 Ref-LEVY 13 CORONATION SIKETIWE CASH</t>
  </si>
  <si>
    <t>Payment Leaseid-5831 Phillers Gwengo 14 Coronation Ref-LEVY 14 CORONATION GWENGO CASH</t>
  </si>
  <si>
    <t>Levy Commission Leaseid-5831 Ref-LEVY 14 CORONATION GWENGO CASH</t>
  </si>
  <si>
    <t>Payment Leaseid-5826 Unit 9 Coronation Gardens Ref-LEVY 9 CORONATION CASH</t>
  </si>
  <si>
    <t>Levy Commission Leaseid-5826 Ref-LEVY 9 CORONATION CASH</t>
  </si>
  <si>
    <t>Payment Leaseid-5819 Eva Mutangadura 2 Coronation Ref-LEVY 2 CORONATION EVA CASH</t>
  </si>
  <si>
    <t>Levy Commission Leaseid-5819 Ref-LEVY 2 CORONATION EVA CASH</t>
  </si>
  <si>
    <t>Payment Leaseid-5817 Agnes Furidze 1 Coronation Ref-LEVY-FURIDZE A-1 CORONATION-TRANSFER-04/02/25</t>
  </si>
  <si>
    <t>Levy Commission Leaseid-5817 Ref-LEVY-FURIDZE A-1 CORONATION-TRANSFER-04/02/25</t>
  </si>
  <si>
    <t>Payment Leaseid-5820 Kudzanayi Kachere 3 Coronation Ref-LEVY-KACHERE K-3 CORONATION-TRANSFER-30/01/25</t>
  </si>
  <si>
    <t>Levy Commission Leaseid-5820 Ref-LEVY-KACHERE K-3 CORONATION-TRANSFER-30/01/25</t>
  </si>
  <si>
    <t>Payment Leaseid-5820 Kudzanayi Kachere 3 Coronation Ref-LEVY-KACHERE K-3 CORONATION-TRANSFER-22/02/25</t>
  </si>
  <si>
    <t>Levy Commission Leaseid-5820 Ref-LEVY-KACHERE K-3 CORONATION-TRANSFER-22/02/25</t>
  </si>
  <si>
    <t>Payment Leaseid-5820 Kudzanayi Kachere 3 Coronation Ref-LEVY-KACHERE K-3 CORONATION-TRANSFER-25/02/25</t>
  </si>
  <si>
    <t>Levy Commission Leaseid-5820 Ref-LEVY-KACHERE K-3 CORONATION-TRANSFER-25/02/25</t>
  </si>
  <si>
    <t>Payment Ref-ZESA PURCHASE-DEC-JAN-FEB</t>
  </si>
  <si>
    <t>Payment Ref-WAGES FEB</t>
  </si>
  <si>
    <r>
      <t>Transaction Period:</t>
    </r>
    <r>
      <rPr>
        <sz val="9"/>
        <color rgb="FF616669"/>
        <rFont val="Verdana"/>
        <family val="2"/>
      </rPr>
      <t>2025-02-01 - 2025-02-28</t>
    </r>
  </si>
  <si>
    <t>Period: 2025-02-01 to 2025-02-28</t>
  </si>
  <si>
    <t>Penalty</t>
  </si>
  <si>
    <t>Electricity</t>
  </si>
  <si>
    <t>March</t>
  </si>
  <si>
    <t>Payment Leaseid-5824 Gibson Taruwinga 7 Coronation Ref-INTEREST - 7 CORONATION</t>
  </si>
  <si>
    <t>Levy Commission Leaseid-5824 Ref-INTEREST - 7 CORONATION</t>
  </si>
  <si>
    <t>Payment Ref-PLUMBING WORKS</t>
  </si>
  <si>
    <t>Payment Ref-GATE MOTOR DEPOSIT</t>
  </si>
  <si>
    <t>Payment Leaseid-5824 Gibson Taruwinga 7 Coronation Ref-LEVY-TARUWINGA G-7 CORONATION-TRANSFER-11/02/25</t>
  </si>
  <si>
    <t>Levy Commission Leaseid-5824 Ref-LEVY-TARUWINGA G-7 CORONATION-TRANSFER-11/02/25</t>
  </si>
  <si>
    <t>Payment Leaseid-5817 Agnes Furidze 1 Coronation Ref-LEVY-FURIDZE A-1 CORONATION-TRANSFER-04/03/25</t>
  </si>
  <si>
    <t>Levy Commission Leaseid-5817 Ref-LEVY-FURIDZE A-1 CORONATION-TRANSFER-04/03/25</t>
  </si>
  <si>
    <t>Payment Leaseid-5833 Emeldah Paradza 16 Coronation Ref-LEVY-PARADZA E-16 CORONATION-ECOCASH-04/03/25</t>
  </si>
  <si>
    <t>Levy Commission Leaseid-5833 Ref-LEVY-PARADZA E-16 CORONATION-ECOCASH-04/03/25</t>
  </si>
  <si>
    <t>Payment Ref-WORKSUITS PURCHASE</t>
  </si>
  <si>
    <t>Payment Ref-COMPLEX SIGNAGE</t>
  </si>
  <si>
    <r>
      <t>Transaction Period:</t>
    </r>
    <r>
      <rPr>
        <sz val="9"/>
        <color rgb="FF616669"/>
        <rFont val="Verdana"/>
        <family val="2"/>
      </rPr>
      <t>2025-03-01 - 2025-03-31</t>
    </r>
  </si>
  <si>
    <t>Period: 2025-03-01 to 2025-03-31</t>
  </si>
  <si>
    <t>Payment Leaseid-5833 Emeldah Paradza 16 Coronation Ref-LEVY-PARADZA E-16 CORONATION-ECOCASH-02/04/25</t>
  </si>
  <si>
    <t>Levy Commission Leaseid-5833 Ref-LEVY-PARADZA E-16 CORONATION-ECOCASH-02/04/25</t>
  </si>
  <si>
    <t>Payment Leaseid-5817 Agnes Furidze 1 Coronation Ref-LEVY-FURIDZE A-1 CORONATION-TRANSFER-31/03/25</t>
  </si>
  <si>
    <t>Levy Commission Leaseid-5817 Ref-LEVY-FURIDZE A-1 CORONATION-TRANSFER-31/03/25</t>
  </si>
  <si>
    <t>Payment Leaseid-5820 Kudzanayi Kachere 3 Coronation Ref-LEVY-KACHERE K-3 CORONATION-TRANSFER-04/04/25</t>
  </si>
  <si>
    <t>Levy Commission Leaseid-5820 Ref-LEVY-KACHERE K-3 CORONATION-TRANSFER-04/04/25</t>
  </si>
  <si>
    <t>Payment Ref-GATE MOTOR BALANCE</t>
  </si>
  <si>
    <t>Payment Leaseid-5827 Dorothy R. S Makoni 10 Coronation Ref-LEVY-MAKONI D-10 CORONATION-ECOCASH-09/04/25</t>
  </si>
  <si>
    <t>Levy Commission Leaseid-5827 Ref-LEVY-MAKONI D-10 CORONATION-ECOCASH-09/04/25</t>
  </si>
  <si>
    <t>Payment Leaseid-5817 Agnes Furidze 1 Coronation Ref-LEVY-FURIDZE A-1 CORONATION-TRANSFER-24/04/25</t>
  </si>
  <si>
    <t>Levy Commission Leaseid-5817 Ref-LEVY-FURIDZE A-1 CORONATION-TRANSFER-24/04/25</t>
  </si>
  <si>
    <t>Payment Ref-UPPER MANYAME</t>
  </si>
  <si>
    <t>Journal ref-MURARA BROOM</t>
  </si>
  <si>
    <r>
      <t>Transaction Period:</t>
    </r>
    <r>
      <rPr>
        <sz val="9"/>
        <color rgb="FF616669"/>
        <rFont val="Verdana"/>
        <family val="2"/>
      </rPr>
      <t>2025-04-01 - 2025-04-30</t>
    </r>
  </si>
  <si>
    <t>Period: 2025-04-01 to 2025-04-30</t>
  </si>
  <si>
    <t>April</t>
  </si>
  <si>
    <t>Upper Manyame</t>
  </si>
  <si>
    <t>May</t>
  </si>
  <si>
    <t>Payment Leaseid-5833 Emeldah Paradza 16 Coronation Ref-LEVY-PARADZA E-16 CORONATION-ECOCASH-03/05/25</t>
  </si>
  <si>
    <t>Levy Commission Leaseid-5833 Ref-LEVY-PARADZA E-16 CORONATION-ECOCASH-03/05/25</t>
  </si>
  <si>
    <t>Payment Leaseid-5829 Rose Chanakira 12 Coronation Ref-LEVY-CHANAKIRA R-12 CORONATION-ECOCASH-03/05/25</t>
  </si>
  <si>
    <t>Levy Commission Leaseid-5829 Ref-LEVY-CHANAKIRA R-12 CORONATION-ECOCASH-03/05/25</t>
  </si>
  <si>
    <t>Payment Leaseid-5826 Unit 9 Coronation Gardens Ref-LEVY-9 CORONATION-ECOCASH-07/05/25</t>
  </si>
  <si>
    <t>Levy Commission Leaseid-5826 Ref-LEVY-9 CORONATION-ECOCASH-07/05/25</t>
  </si>
  <si>
    <t>Payment Leaseid-5823 Maud Silibaziso 6 Coronation Ref-LEVY-SILIBAZISO M-6 CORONATION-ECOCASH-06/05/25</t>
  </si>
  <si>
    <t>Levy Commission Leaseid-5823 Ref-LEVY-SILIBAZISO M-6 CORONATION-ECOCASH-06/05/25</t>
  </si>
  <si>
    <t>Payment Leaseid-5822 Tatenda Ngowe 5 Coronation Ref-LEVY-NGOWE T-5 CORONATION-ECOCASH-06/05/25</t>
  </si>
  <si>
    <t>Levy Commission Leaseid-5822 Ref-LEVY-NGOWE T-5 CORONATION-ECOCASH-06/05/25</t>
  </si>
  <si>
    <t>Payment Leaseid-5820 Kudzanayi Kachere 3 Coronation Ref-LEVY-KACHERE K-3 CORONATION-TRANSFER-08/05/25</t>
  </si>
  <si>
    <t>Levy Commission Leaseid-5820 Ref-LEVY-KACHERE K-3 CORONATION-TRANSFER-08/05/25</t>
  </si>
  <si>
    <t>Payment Ref-ELECTRICALS FOR THE GATE</t>
  </si>
  <si>
    <r>
      <t>Transaction Period:</t>
    </r>
    <r>
      <rPr>
        <sz val="9"/>
        <color rgb="FF616669"/>
        <rFont val="Verdana"/>
        <family val="2"/>
      </rPr>
      <t>2025-05-01 - 2025-05-31</t>
    </r>
  </si>
  <si>
    <t>Period: 2025-05-01 to 2025-05-31</t>
  </si>
  <si>
    <t>June</t>
  </si>
  <si>
    <t>Payment Leaseid-5820 Kudzanayi Kachere 3 Coronation Ref-LEVY-KACHERE K-3 CORONATION-TRANSFER-27/05/25</t>
  </si>
  <si>
    <t>Levy Commission Leaseid-5820 Ref-LEVY-KACHERE K-3 CORONATION-TRANSFER-27/05/25</t>
  </si>
  <si>
    <t>Payment Leaseid-5817 Agnes Furidze 1 Coronation Ref-LEVY-FURIDZE A-1 CORONATION-TRANSFER-23/05/25</t>
  </si>
  <si>
    <t>Levy Commission Leaseid-5817 Ref-LEVY-FURIDZE A-1 CORONATION-TRANSFER-23/05/25</t>
  </si>
  <si>
    <t>Payment Leaseid-5822 Tatenda Ngowe 5 Coronation Ref-LEVY-NGOWE T-5 CORONATION-TRANSFER-04/06/25</t>
  </si>
  <si>
    <t>Levy Commission Leaseid-5822 Ref-LEVY-NGOWE T-5 CORONATION-TRANSFER-04/06/25</t>
  </si>
  <si>
    <t>Payment Leaseid-5821 Hebros Dubai 4 Coronation Ref-JUN LEVY - 4 CORONATION</t>
  </si>
  <si>
    <t>Levy Commission Leaseid-5821 Ref-JUN LEVY - 4 CORONATION</t>
  </si>
  <si>
    <t>Payment Ref-ELECTRICAL CABLES</t>
  </si>
  <si>
    <t>Payment Leaseid-5825 Lody Machiwenyika 8 Coronation Ref-LEVY/zesa - 8 CORONATION</t>
  </si>
  <si>
    <t>Levy Commission Leaseid-5825 Ref-LEVY/zesa - 8 CORONATION</t>
  </si>
  <si>
    <t>Payment Leaseid-5828 Farai Chivaura 11 Coronation Ref-LEVY/gate repairs - 11 CORONATION</t>
  </si>
  <si>
    <t>Levy Commission Leaseid-5828 Ref-LEVY/gate repairs - 11 CORONATION</t>
  </si>
  <si>
    <t>Payment Leaseid-5817 Agnes Furidze 1 Coronation Ref-LEVY-FURIDZE A-1 CORONATION-TRANSFER-24/06/25</t>
  </si>
  <si>
    <t>Levy Commission Leaseid-5817 Ref-LEVY-FURIDZE A-1 CORONATION-TRANSFER-24/06/25</t>
  </si>
  <si>
    <r>
      <t>Transaction Period:</t>
    </r>
    <r>
      <rPr>
        <sz val="10"/>
        <color rgb="FF616669"/>
        <rFont val="Verdana"/>
        <family val="2"/>
      </rPr>
      <t>2025-06-01 - 2025-06-30</t>
    </r>
  </si>
  <si>
    <t>Period: 2025-06-01 to 2025-06-30</t>
  </si>
  <si>
    <t>July</t>
  </si>
  <si>
    <t>Payment Leaseid-5820 Kudzanayi Kachere 3 Coronation Ref-LEVY-KACHERE K-3 CORONATION-TRANSFER-27/06/25</t>
  </si>
  <si>
    <t>Levy Commission Leaseid-5820 Ref-LEVY-KACHERE K-3 CORONATION-TRANSFER-27/06/25</t>
  </si>
  <si>
    <t>Payment Leaseid-5830 Siketiwe Marima 13 Coronation Ref-LEVY - 13 CORONATION VILLAS</t>
  </si>
  <si>
    <t>Levy Commission Leaseid-5830 Ref-LEVY - 13 CORONATION VILLAS</t>
  </si>
  <si>
    <t>Payment Leaseid-5832 Toko Muodzi Ross 15 Coronation Gardens Ref-LEVY - 15 CORONATION VILLAS</t>
  </si>
  <si>
    <t>Levy Commission Leaseid-5832 Ref-LEVY - 15 CORONATION VILLAS</t>
  </si>
  <si>
    <t>Payment Leaseid-5833 Emeldah Paradza 16 Coronation Ref-LEVY - 16 CORONATION GARDENS</t>
  </si>
  <si>
    <t>Levy Commission Leaseid-5833 Ref-LEVY - 16 CORONATION GARDENS</t>
  </si>
  <si>
    <t>Payment Leaseid-5834 Margaret Mushayi 17 Coronation Ref-LEVY - 17 CORONATION GARDENS</t>
  </si>
  <si>
    <t>Levy Commission Leaseid-5834 Ref-LEVY - 17 CORONATION GARDENS</t>
  </si>
  <si>
    <t>Payment Leaseid-5831 Phillers Gwengo 14 Coronation Ref-LEVY - 14 CORONATION GARDENS</t>
  </si>
  <si>
    <t>Levy Commission Leaseid-5831 Ref-LEVY - 14 CORONATION GARDENS</t>
  </si>
  <si>
    <t>Payment Leaseid-5823 Maud Silibaziso 6 Coronation Ref-LEVY - 6 CORONATION GARDENS</t>
  </si>
  <si>
    <t>Levy Commission Leaseid-5823 Ref-LEVY - 6 CORONATION GARDENS</t>
  </si>
  <si>
    <t>Payment Leaseid-5824 Gibson Taruwinga 7 Coronation Ref-LEVY - 7 CORONATION GARDENS</t>
  </si>
  <si>
    <t>Levy Commission Leaseid-5824 Ref-LEVY - 7 CORONATION GARDENS</t>
  </si>
  <si>
    <t>Payment Leaseid-5826 Unit 9 Coronation Gardens Ref-LEVY - 9 CORONATION GARDENS</t>
  </si>
  <si>
    <t>Levy Commission Leaseid-5826 Ref-LEVY - 9 CORONATION GARDENS</t>
  </si>
  <si>
    <t>Payment Leaseid-5819 Eva Mutangadura 2 Coronation Ref-LEVY - 2 CORONATION GARDENS</t>
  </si>
  <si>
    <t>Levy Commission Leaseid-5819 Ref-LEVY - 2 CORONATION GARDENS</t>
  </si>
  <si>
    <t>Payment Leaseid-5820 Kudzanayi Kachere 3 Coronation Ref-LEVY - 3 CORONATION GARDENS</t>
  </si>
  <si>
    <t>Levy Commission Leaseid-5820 Ref-LEVY - 3 CORONATION GARDENS</t>
  </si>
  <si>
    <t>Payment Ref-WORKSUITS &amp; SAFETY SHOES</t>
  </si>
  <si>
    <t>Journal ref-mispost reversed-3 Coronation</t>
  </si>
  <si>
    <t>Journal ref-mispost reversed-commission-3 Coronation</t>
  </si>
  <si>
    <t>Payment Leaseid-5821 Hebros Dubai 4 Coronation Ref-LEVY - 4 CORONATION GARDENS</t>
  </si>
  <si>
    <t>Levy Commission Leaseid-5821 Ref-LEVY - 4 CORONATION GARDENS</t>
  </si>
  <si>
    <t>Payment Leaseid-5827 Dorothy R. S Makoni 10 Coronation Ref-LEVY-MAKONI D-10 CORONATION-ECOCASH-03/07/25</t>
  </si>
  <si>
    <t>Levy Commission Leaseid-5827 Ref-LEVY-MAKONI D-10 CORONATION-ECOCASH-03/07/25</t>
  </si>
  <si>
    <r>
      <t>Transaction Period:</t>
    </r>
    <r>
      <rPr>
        <sz val="9"/>
        <color rgb="FF616669"/>
        <rFont val="Verdana"/>
        <family val="2"/>
      </rPr>
      <t>2025-07-01 - 2025-07-31</t>
    </r>
  </si>
  <si>
    <r>
      <t>Transaction Period:</t>
    </r>
    <r>
      <rPr>
        <sz val="10"/>
        <color rgb="FF616669"/>
        <rFont val="Verdana"/>
        <family val="2"/>
      </rPr>
      <t>2025-07-01 - 2025-07-31</t>
    </r>
  </si>
  <si>
    <t>Period: 2025-07-01 to 2025-07-31</t>
  </si>
  <si>
    <t>August</t>
  </si>
  <si>
    <t>Payment Leaseid-5828 Farai Chivaura 11 Coronation Ref-LEVY - 11 CORONATION GARDENS</t>
  </si>
  <si>
    <t>Levy Commission Leaseid-5828 Ref-LEVY - 11 CORONATION GARDENS</t>
  </si>
  <si>
    <t>Payment Leaseid-5829 Rose Chanakira 12 Coronation Ref-LEVY - 12 CORONATION GARDENS</t>
  </si>
  <si>
    <t>Levy Commission Leaseid-5829 Ref-LEVY - 12 CORONATION GARDENS</t>
  </si>
  <si>
    <t>Payment Leaseid-5833 Emeldah Paradza 16 Coronation Ref-LEVY - 16 CORONATION VILLAS</t>
  </si>
  <si>
    <t>Levy Commission Leaseid-5833 Ref-LEVY - 16 CORONATION VILLAS</t>
  </si>
  <si>
    <t>Payment Leaseid-5826 Unit 9 Coronation Gardens Ref-LEVY - 9 CORONATION VILLAS</t>
  </si>
  <si>
    <t>Levy Commission Leaseid-5826 Ref-LEVY - 9 CORONATION VILLAS</t>
  </si>
  <si>
    <t>Payment Leaseid-5819 Eva Mutangadura 2 Coronation Ref-LEVY - 2 CORONATION VILLAS</t>
  </si>
  <si>
    <t>Levy Commission Leaseid-5819 Ref-LEVY - 2 CORONATION VILLAS</t>
  </si>
  <si>
    <t>Payment Leaseid-5817 Agnes Furidze 1 Coronation Ref-LEVY-FURIDZE A-1 CORONATION-TRANSFER-23/07/25</t>
  </si>
  <si>
    <t>Levy Commission Leaseid-5817 Ref-LEVY-FURIDZE A-1 CORONATION-TRANSFER-23/07/25</t>
  </si>
  <si>
    <t>Payment Leaseid-5824 Gibson Taruwinga 7 Coronation Ref-LEVY-TARUWINGA G-7 CORONATION-TRANSFER-06/08/25</t>
  </si>
  <si>
    <t>Levy Commission Leaseid-5824 Ref-LEVY-TARUWINGA G-7 CORONATION-TRANSFER-06/08/25</t>
  </si>
  <si>
    <r>
      <t>Transaction Period:</t>
    </r>
    <r>
      <rPr>
        <sz val="10"/>
        <color rgb="FF616669"/>
        <rFont val="Verdana"/>
        <family val="2"/>
      </rPr>
      <t>2025-08-01 - 2025-08-31</t>
    </r>
  </si>
  <si>
    <t>Period: 2025-08-01 to 2025-08-31</t>
  </si>
  <si>
    <t>September</t>
  </si>
  <si>
    <t>Payment Leaseid-5827 Dorothy R. S Makoni 10 Coronation Ref-LEVY - 10 CORONATION GARDENS</t>
  </si>
  <si>
    <t>Levy Commission Leaseid-5827 Ref-LEVY - 10 CORONATION GARDENS</t>
  </si>
  <si>
    <t>Payment Leaseid-5832 Toko Muodzi Ross 15 Coronation Gardens Ref-LEVY - 15 CORONATION GARDENS</t>
  </si>
  <si>
    <t>Levy Commission Leaseid-5832 Ref-LEVY - 15 CORONATION GARDENS</t>
  </si>
  <si>
    <t>Payment Leaseid-5823 Maud Silibaziso 6 Coronation Ref-LEVY - 6 CORONATION VILLAS</t>
  </si>
  <si>
    <t>Levy Commission Leaseid-5823 Ref-LEVY - 6 CORONATION VILLAS</t>
  </si>
  <si>
    <t>Payment Leaseid-5824 Gibson Taruwinga 7 Coronation Ref-LEVY - 7 CORONATION VILLAS</t>
  </si>
  <si>
    <t>Levy Commission Leaseid-5824 Ref-LEVY - 7 CORONATION VILLAS</t>
  </si>
  <si>
    <t>Payment Leaseid-5817 Agnes Furidze 1 Coronation Ref-LEVY 1 CORONATION FURIDZE TRANSFER 25/08/25</t>
  </si>
  <si>
    <t>Levy Commission Leaseid-5817 Ref-LEVY 1 CORONATION FURIDZE TRANSFER 25/08/25</t>
  </si>
  <si>
    <t>Payment Leaseid-5820 Kudzanayi Kachere 3 Coronation Ref-LEVY-KACHERE K-3 CORONATION-ECOCASH-04/09/25</t>
  </si>
  <si>
    <t>Levy Commission Leaseid-5820 Ref-LEVY-KACHERE K-3 CORONATION-ECOCASH-04/09/25</t>
  </si>
  <si>
    <t>Payment Leaseid-5821 Hebros Dubai 4 Coronation Ref-LEVY-DUBAI H-4 CORONATION-TRANSFER-09/09/25</t>
  </si>
  <si>
    <t>Levy Commission Leaseid-5821 Ref-LEVY-DUBAI H-4 CORONATION-TRANSFER-09/09/25</t>
  </si>
  <si>
    <t>Payment Ref- RELIEVE SECURITY GUARD -MR TSABORA</t>
  </si>
  <si>
    <t>Payment Ref-MURARA BROOMS</t>
  </si>
  <si>
    <t>Journal ref-STAFF SALARIES -SPTEMBER 2025</t>
  </si>
  <si>
    <r>
      <t>Transaction Period:</t>
    </r>
    <r>
      <rPr>
        <sz val="10"/>
        <color rgb="FF616669"/>
        <rFont val="Verdana"/>
        <family val="2"/>
      </rPr>
      <t>2025-09-01 - 2025-09-30</t>
    </r>
  </si>
  <si>
    <r>
      <t>Account ID:</t>
    </r>
    <r>
      <rPr>
        <sz val="10"/>
        <color rgb="FF616669"/>
        <rFont val="Verdana"/>
        <family val="2"/>
      </rPr>
      <t>58344</t>
    </r>
  </si>
  <si>
    <r>
      <t>Account Currency:</t>
    </r>
    <r>
      <rPr>
        <sz val="10"/>
        <color rgb="FF616669"/>
        <rFont val="Verdana"/>
        <family val="2"/>
      </rPr>
      <t>ZIG</t>
    </r>
  </si>
  <si>
    <t>Period: 2025-09-01 to 2025-09-30</t>
  </si>
  <si>
    <t>Security</t>
  </si>
  <si>
    <t>October</t>
  </si>
  <si>
    <t>Payment Leaseid-5817 Agnes Furidze 1 Coronation Ref-LEVY-FURIDZE A-1 CORONATION-TRANSFER-23/09/25</t>
  </si>
  <si>
    <t>Levy Commission Leaseid-5817 Ref-LEVY-FURIDZE A-1 CORONATION-TRANSFER-23/09/25</t>
  </si>
  <si>
    <t>Payment Leaseid-5830 Siketiwe Marima 13 Coronation Ref-LEVY - 13 CORONATION GARDENS</t>
  </si>
  <si>
    <t>Levy Commission Leaseid-5830 Ref-LEVY - 13 CORONATION GARDENS</t>
  </si>
  <si>
    <t>Payment Leaseid-5822 Tatenda Ngowe 5 Coronation Ref-LEVY - 5 CORONATION GARDENS</t>
  </si>
  <si>
    <t>Levy Commission Leaseid-5822 Ref-LEVY - 5 CORONATION GARDENS</t>
  </si>
  <si>
    <t>Payment Leaseid-5820 Kudzanayi Kachere 3 Coronation Ref-LEVY-KACHERE K-3 CORONATION-TRANSFER-02/10/25</t>
  </si>
  <si>
    <t>Levy Commission Leaseid-5820 Ref-LEVY-KACHERE K-3 CORONATION-TRANSFER-02/10/25</t>
  </si>
  <si>
    <t>Payment Leaseid-5821 Hebros Dubai 4 Coronation Ref-LEVY-DUBAI D-4 CORONATION-TRANSFER-06/10/25</t>
  </si>
  <si>
    <t>Levy Commission Leaseid-5821 Ref-LEVY-DUBAI D-4 CORONATION-TRANSFER-06/10/25</t>
  </si>
  <si>
    <t>Payment Ref-UPPER MANYAME -BOREHOLE LEVY</t>
  </si>
  <si>
    <t>Payment Leaseid-5828 Farai Chivaura 11 Coronation Ref-LEVY - 11 CORONATION/gate rail repairs</t>
  </si>
  <si>
    <t>Levy Commission Leaseid-5828 Ref-LEVY - 11 CORONATION/gate rail repairs</t>
  </si>
  <si>
    <t>Payment Ref-GATE REPAIRS RAIL</t>
  </si>
  <si>
    <t>Journal ref-RATES -UPPER MANYAME</t>
  </si>
  <si>
    <t>Journal ref-BANK CHARGES -UPPER MANYAME</t>
  </si>
  <si>
    <t>Payment Leaseid-5826 Unit 9 Coronation Gardens Ref-LEVY-9 CORONATION-ECOCASH-03/10/25</t>
  </si>
  <si>
    <t>Levy Commission Leaseid-5826 Ref-LEVY-9 CORONATION-ECOCASH-03/10/25</t>
  </si>
  <si>
    <t>Payment Leaseid-5817 Agnes Furidze 1 Coronation Ref-LEVY-FURIDZE A-1 CORONATION-TRANSFER-23/10/25</t>
  </si>
  <si>
    <t>Levy Commission Leaseid-5817 Ref-LEVY-FURIDZE A-1 CORONATION-TRANSFER-23/10/25</t>
  </si>
  <si>
    <r>
      <t>Transaction Period:</t>
    </r>
    <r>
      <rPr>
        <sz val="10"/>
        <color rgb="FF616669"/>
        <rFont val="Verdana"/>
        <family val="2"/>
      </rPr>
      <t>2025-10-01 - 2025-10-31</t>
    </r>
  </si>
  <si>
    <t>Period: 2025-10-01 to 2025-10-31</t>
  </si>
  <si>
    <t>November</t>
  </si>
  <si>
    <t>Period: 2025-11-01 to 2025-11-30</t>
  </si>
  <si>
    <t>Payment Leaseid-5820 Kudzanayi Kachere 3 Coronation Ref-LEVY-KACHERE K-3 CORONATION-ECOCASH-08/11/25</t>
  </si>
  <si>
    <t>Levy Commission Leaseid-5820 Ref-LEVY-KACHERE K-3 CORONATION-ECOCASH-08/11/25</t>
  </si>
  <si>
    <t>Payment Leaseid-5825 Lody Machiwenyika 8 Coronation Ref-LEVY - 8 CORONATION/zesa</t>
  </si>
  <si>
    <t>Levy Commission Leaseid-5825 Ref-LEVY - 8 CORONATION/zesa</t>
  </si>
  <si>
    <t>Payment Ref-ZESA PURCHASE -JULY -OCTOBER 2025</t>
  </si>
  <si>
    <t>Payment Leaseid-5821 Hebros Dubai 4 Coronation Ref-LEVY-DUBAI H-4 CORONATION-TRANSFER-10/11/25</t>
  </si>
  <si>
    <t>Levy Commission Leaseid-5821 Ref-LEVY-DUBAI H-4 CORONATION-TRANSFER-10/11/25</t>
  </si>
  <si>
    <t>Payment Leaseid-5831 Phillers Gwengo 14 Coronation Ref-LEVY - 14 CORONATION VILLAS</t>
  </si>
  <si>
    <t>Levy Commission Leaseid-5831 Ref-LEVY - 14 CORONATION VILLAS</t>
  </si>
  <si>
    <t>Payment Ref-BOREHOLE ASSESMENT</t>
  </si>
  <si>
    <r>
      <t>Transaction Period:</t>
    </r>
    <r>
      <rPr>
        <sz val="10"/>
        <color rgb="FF616669"/>
        <rFont val="Verdana"/>
        <family val="2"/>
      </rPr>
      <t>2025-11-01 - 2025-11-30</t>
    </r>
  </si>
  <si>
    <t>Overdraft</t>
  </si>
  <si>
    <t>CONSOLIDATED INCOME &amp; EXPENDITURE  FOR THE 12 MONTHS</t>
  </si>
  <si>
    <t>December</t>
  </si>
  <si>
    <t>INCOME SUMMARY 31/12/25</t>
  </si>
  <si>
    <t>WORKING CAPITAL AS AT 31/12/25</t>
  </si>
  <si>
    <t>SUNSET VILLAS</t>
  </si>
  <si>
    <t>Trevor Jasi 1 Sunset Villas</t>
  </si>
  <si>
    <t>Jane Midzi 2 Sunset Villas</t>
  </si>
  <si>
    <t>Monica Muyengwa 3 Sunset Villas</t>
  </si>
  <si>
    <t>Bezel Mawere 4 Sunset Villas</t>
  </si>
  <si>
    <t>Jimmy Marowa 5 Sunset Villas</t>
  </si>
  <si>
    <t>Wendy Madzura 6 Sunset Villas</t>
  </si>
  <si>
    <t>Trymore Pandi 7 Sunset Villas</t>
  </si>
  <si>
    <t>Florine Ngarava 8 Sunset Villas</t>
  </si>
  <si>
    <t>Pretty Jani 10 Sunset Villas</t>
  </si>
  <si>
    <t>Nobukosi Tshuma 9 Sunset Villas</t>
  </si>
  <si>
    <t>Madeline Bera 11 Sunset Villas</t>
  </si>
  <si>
    <t>Chevelle Nandi 12 Sunset Villas</t>
  </si>
  <si>
    <t>Ashleigh Mwanza 13 Sunset Villas</t>
  </si>
  <si>
    <t>Yvonne Takavada 14 Sunset Villas</t>
  </si>
  <si>
    <t>Jessie Mugoni 15 Sunset Villas</t>
  </si>
  <si>
    <t>Robson Gweta 16 Sunset Villas</t>
  </si>
  <si>
    <t>Brian Bonda 17 Sunset Villas</t>
  </si>
  <si>
    <t>Upper Manyame rates</t>
  </si>
  <si>
    <t>INCOME AND EXPENDITURE FOR THE PERIOD ENDING 31 DEC  2025</t>
  </si>
  <si>
    <t>ACCOUNT HOLDER</t>
  </si>
  <si>
    <t>Category : Levy</t>
  </si>
  <si>
    <t>Account Currency:USD</t>
  </si>
  <si>
    <t>Transaction Period:2025-12-01 - 2025-12-31</t>
  </si>
  <si>
    <t>Levy Commission Leaseid-5832 Ref-LEVY-15 SUNSET-ECOCASH-31/12/25</t>
  </si>
  <si>
    <t>Levy Payment -Ecocash USD-Robson Gweta 16 Sunset Leaseid-5833 Ref-LEVY- ECOCASH-27/11/25</t>
  </si>
  <si>
    <t>Levy Commission-Ecocash USD-Robson Gweta 16 Sunset Leaseid-5833 Ref-LEVY- ECOCASH-27/11/25</t>
  </si>
  <si>
    <t>Levy Payment-FBC Bank-Bezel Mawere 4 Sunset- Leaseid-5821  Ref-LEVY-TRANSFER-02/12/25</t>
  </si>
  <si>
    <t>Levy Commission--FBC Bank-Bezel Mawere 4 Sunset- Leaseid-5821  Ref-LEVY-TRANSFER-02/12/25</t>
  </si>
  <si>
    <t>Levy Payment-ZB Bank-Monica Muyengwa -3 Sunset Leaseid-5820 Ref-LEVY-TRANSFER-03/12/25</t>
  </si>
  <si>
    <t>Levy Commission-ZB Bank-Monica Muyengwa -3 Sunset Leaseid-5820 Ref-LEVY-TRANSFER-03/12/25</t>
  </si>
  <si>
    <t>Levy Payment -Ecocash USD- Pretty Jani-10 Sunset-Leaseid-5827 Ref-LEVY-PRETTY JANI-10 SUNSET-ECOCASH-02/12/25</t>
  </si>
  <si>
    <t>Levy Commission-Ecocash USD- Pretty Jani-10 Sunset-Leaseid-5827 Ref-LEVY-PRETTY JANI-10 SUNSET-ECOCASH-02/12/25</t>
  </si>
  <si>
    <t>Levy Payment-Cash USD-Madeline Bera 11 Sunset-Leaseid-5828  Ref-LEVY - 11 Sunset</t>
  </si>
  <si>
    <t>Levy Commission-Cash USD-Madeline Bera 11 Sunset-Leaseid-5828  Ref-LEVY - 11 Sunset</t>
  </si>
  <si>
    <t>PURCHASE OF SOLAR LIGHTS</t>
  </si>
  <si>
    <t>Levy Payment -Stanbic Bank-Trevor Jasi-1 Sunset-Leaseid-5817  Ref-LEVY-1 SUNSET-TRANSFER-05/12/25</t>
  </si>
  <si>
    <t>Levy Commission-Stanbic Bank-Trevor Jasi-1 Sunset-Leaseid-5817  Ref-LEVY-1 SUNSET-TRANSFER-05/12/25</t>
  </si>
  <si>
    <t>Levy Payment-Cash USD- Wendy Madzura 6 Sunset Leaseid-5823 Ref-LEVY - 6 SUNSET VILLAS</t>
  </si>
  <si>
    <t>Levy Commission-Cash USD- Wendy Madzura 6 Sunset Leaseid-5823 Ref-LEVY - 6 SUNSET VILLAS</t>
  </si>
  <si>
    <t>Levy Payment-Ecocash USD-Chevelle Nandi 12 Sunset-Leaseid-5829  Ref-LEVY-CHEVELLE NANDI-12 SUNSET-ECOCASH-17/12/25</t>
  </si>
  <si>
    <t>Levy Commission -Ecocash USD-Chevelle Nandi 12 Sunset-Leaseid-5829  Ref-LEVY-CHEVELLE NANDI-12 SUNSET-ECOCASH-17/12/25</t>
  </si>
  <si>
    <t>Levy Payment -Stanbic Bank-Trevor Jasi-1 Sunset-Leaseid-5817  Ref-LEVY-1 SUNSET-TRANSFER</t>
  </si>
  <si>
    <t>Levy Commission-Stanbic Bank-Trevor Jasi-1 Sunset-Leaseid-5817  Ref-LEVY-1 SUNSET-TRANSFER</t>
  </si>
  <si>
    <t>Levy Payment-Cash USD- Asheigh Mwanza 13 SunsetLeaseid-5830 Ref-LEVY 13 SUNSET MWANZA CASH</t>
  </si>
  <si>
    <t>Levy Commission-Cash USD- Asheigh Mwanza 13 SunsetLeaseid-5830 Ref-LEVY 13 SUNSET MWANZA CASH</t>
  </si>
  <si>
    <t>Levy Payment-Cash USD-Pretty Jani 10 Sunset- Leaseid-5827  Ref-LEVY 10 SUNSET JANI CASH</t>
  </si>
  <si>
    <t>Levy Commission-Cash USD-Pretty Jani 10 Sunset- Leaseid-5827  Ref-LEVY 10 SUNSET JANI CASH</t>
  </si>
  <si>
    <t>Levy Payment -Ecocash USD-Jimmy Marowa 5  Sunset  Leaseid-5822 Ref-LEVY-Jimmy Marowa-5 Sunset-ECOCASH-23/12/25</t>
  </si>
  <si>
    <t>Levy Commission Ecocash USD-Jimmy Marowa 5  Sunset  Leaseid-5822Ref-LEVY-Jimmy Marowa-5 Sunset-ECOCASH-23/12/25</t>
  </si>
  <si>
    <t>Payment-Ecocash USD-Robson Gweta 16 Sunset Leaseid-5833  Ref-LEVY-PARADZA E-16 Sunset-ECOCASH-28/12/25</t>
  </si>
  <si>
    <t>Levy Commission -Ecocash USD-Robson Gweta 16 Sunset Leaseid-5833  Ref-LEVY-PARADZA E-16 Sunset-ECOCASH-28/12/25</t>
  </si>
  <si>
    <t>Levy Payment -Ecocash USD-Madeine Bera 11 SunsetLeaseid-5828  Ref-LEVY-15 Sunset-ECOCASH-29/12/25</t>
  </si>
  <si>
    <t>Levy Commission-Ecocash USD-Madeine Bera 11 SunsetLeaseid-5828  Ref-LEVY-15 Sunset-ECOCASH-29/12/25</t>
  </si>
  <si>
    <t>Levy Payment-Ecocash USD- Jessie Mugoni 15 SUNSET  Leaseid-5832Ref-LEVY-ECOCASH-31/12/25</t>
  </si>
  <si>
    <t>Landlord: Sunset Villas Owners Association</t>
  </si>
  <si>
    <t>Account ID:53845/06</t>
  </si>
  <si>
    <t>Transaction ID</t>
  </si>
  <si>
    <t>Contra</t>
  </si>
  <si>
    <t>Ref</t>
  </si>
  <si>
    <t>6000/010</t>
  </si>
  <si>
    <t>RCT-21345</t>
  </si>
  <si>
    <t>1000/010</t>
  </si>
  <si>
    <t>CMA-19427</t>
  </si>
  <si>
    <t>RCT-21348</t>
  </si>
  <si>
    <t>CMA-19437</t>
  </si>
  <si>
    <t>RCT-21367</t>
  </si>
  <si>
    <t>CMA-19442</t>
  </si>
  <si>
    <t>RCT-21369</t>
  </si>
  <si>
    <t>CMA-19444</t>
  </si>
  <si>
    <t>RCT-21377</t>
  </si>
  <si>
    <t>CMA-19447</t>
  </si>
  <si>
    <t>2000/002</t>
  </si>
  <si>
    <t>P3143</t>
  </si>
  <si>
    <t>RCT-21379</t>
  </si>
  <si>
    <t>CMA-19467</t>
  </si>
  <si>
    <t>RCT-21381</t>
  </si>
  <si>
    <t>CMA-19475</t>
  </si>
  <si>
    <t>RCT-21383</t>
  </si>
  <si>
    <t>CMA-19480</t>
  </si>
  <si>
    <t>2000/004</t>
  </si>
  <si>
    <t>P3198</t>
  </si>
  <si>
    <t>RCT-21385</t>
  </si>
  <si>
    <t>CMA-19481</t>
  </si>
  <si>
    <t>RCT-21386</t>
  </si>
  <si>
    <t>CMA-19482</t>
  </si>
  <si>
    <t>RCT-21390</t>
  </si>
  <si>
    <t>CMA-19484</t>
  </si>
  <si>
    <t>RCT-21392</t>
  </si>
  <si>
    <t>CMA-19489</t>
  </si>
  <si>
    <t>RCT-21394</t>
  </si>
  <si>
    <t>CMA-19491</t>
  </si>
  <si>
    <t>RCT-21395</t>
  </si>
  <si>
    <t>CMA-19493</t>
  </si>
  <si>
    <t>RCT-21399</t>
  </si>
  <si>
    <t>CMA-19495</t>
  </si>
  <si>
    <t>The landlord statement below is still the same, opening balances, receipts and expenditure are the same except that this one has a scenario which is encountered quite a number of times in several properties we manage.</t>
  </si>
  <si>
    <t>Mispost reversed-Levy Payment-Cash USD- Wendy Madzura 6 Sunset Leaseid-5823 Ref-LEVY - 6 SUNSET VILLAS</t>
  </si>
  <si>
    <t>Mispost reversed-Levy Commission-Cash USD- Wendy Madzura 6 Sunset Leaseid-5823 Ref-LEVY - 6 SUNSET VILLAS</t>
  </si>
  <si>
    <t>RCT-21382</t>
  </si>
  <si>
    <t>CMA-19476</t>
  </si>
  <si>
    <t xml:space="preserve">In this example,Wendy Madzura's payment was recorded twice mistakenly but it was reversed immediately through journals so as to keep the balances correct. </t>
  </si>
  <si>
    <t>The credit side balance increased as well from $1246 to $1488; due to the $210 wrong receipt in row 77 and a  $32 commission reversal in row $80.</t>
  </si>
  <si>
    <t>The total on the debit side increased from $826 to $1068 because of the $210 posted to cancel off the second receipt of  $210  and a $32 commission that was initially deducted from the  wrong receipt.</t>
  </si>
  <si>
    <t>Now that the wrong receipt and corrections have distorted our credit side totals, which now leads to differences in balances between our Income &amp; Expenditure report and the Landlord Statement.</t>
  </si>
  <si>
    <t>This discrepancy needs attention</t>
  </si>
  <si>
    <t>The way out of this problem is to adjust the credit side totals by removing the $210 of a wrong receipt and a $32 posted to cancel off commission deduction that was charged as a result of the wrong receipt.</t>
  </si>
  <si>
    <t>The Income &amp; Expenditure report now show a balance of $289 while the landlord statement has maintained its balance of $84.</t>
  </si>
  <si>
    <t>By doing so, the Income &amp; Expenditure Report &amp; Landlord Statement balances will tally .</t>
  </si>
  <si>
    <t>This Income &amp; Expenditure Report takes its balance from a landlord account statement that has no error corrections. Errors do happen in accounting activities daily, and we cannot assume that everything will work out smooothy without errors.</t>
  </si>
  <si>
    <t>The next tab is the same Income and Expenditure report, but it derives its income from a distorted Landlord Statement credit-side total.</t>
  </si>
  <si>
    <t>Note that the logic for deriving income remains the same, that is the totals on the credit side of our landlord account. The path followed in this Income &amp; Expenditure report is ='LANDLORD ACC DETAILED VIEW-LEVY'!G98</t>
  </si>
  <si>
    <t>The next document A4 will clearly illustrate and provide a comprehensive solution to that problem.</t>
  </si>
  <si>
    <t xml:space="preserve">For now, let's fully understand this problem </t>
  </si>
  <si>
    <t>NEW APPROACH DERIVING LEVY INCOME FROM A COMPROMISED SOURCE</t>
  </si>
  <si>
    <t>NEW APPROACH DERIVING LEVY INCOME FROM AN UNCOMPROMISED SOURCE</t>
  </si>
  <si>
    <t>This Income &amp; Expenditure report derives its levy income from a landlord account with distorted credit side totals.</t>
  </si>
  <si>
    <t xml:space="preserve">Let’s go to document A4 for a comprehensive solution. </t>
  </si>
  <si>
    <t xml:space="preserve">The aim of the reversal of $210 receipt is to keep our landlord statement balance correct, but it leads to a huge distortion on our credit-side totals, which our primary source of our income. </t>
  </si>
  <si>
    <t>The landlord statement is correct in accounting standards , as it keeps the landlorlord liabilty correct, without risking paying out more money to the landlord, but for system development it poses a huge challenge.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</si>
</sst>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6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</font>
    <font>
      <b/>
      <sz val="12"/>
      <color rgb="FF0070C0"/>
      <name val="Arial"/>
      <family val="2"/>
    </font>
    <font>
      <b/>
      <u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color rgb="FF0070C0"/>
      <name val="Arial"/>
      <family val="2"/>
    </font>
    <font>
      <u/>
      <sz val="12"/>
      <color theme="1"/>
      <name val="Arial"/>
      <family val="2"/>
    </font>
    <font>
      <b/>
      <sz val="14"/>
      <color rgb="FF9ACA3C"/>
      <name val="Verdana"/>
      <family val="2"/>
    </font>
    <font>
      <b/>
      <sz val="8"/>
      <color rgb="FF616669"/>
      <name val="Verdana"/>
      <family val="2"/>
    </font>
    <font>
      <sz val="8"/>
      <color rgb="FF616669"/>
      <name val="Verdana"/>
      <family val="2"/>
    </font>
    <font>
      <sz val="10"/>
      <color rgb="FF003399"/>
      <name val="Verdana"/>
      <family val="2"/>
    </font>
    <font>
      <sz val="8"/>
      <color rgb="FF666699"/>
      <name val="Verdana"/>
      <family val="2"/>
    </font>
    <font>
      <b/>
      <sz val="9"/>
      <color rgb="FF3D5A65"/>
      <name val="Verdana"/>
      <family val="2"/>
    </font>
    <font>
      <sz val="8"/>
      <color rgb="FFFF0000"/>
      <name val="Verdana"/>
      <family val="2"/>
    </font>
    <font>
      <b/>
      <i/>
      <sz val="12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9ACA3C"/>
      <name val="Verdana"/>
      <family val="2"/>
    </font>
    <font>
      <sz val="9"/>
      <color theme="1"/>
      <name val="Calibri"/>
      <family val="2"/>
      <scheme val="minor"/>
    </font>
    <font>
      <b/>
      <sz val="9"/>
      <color rgb="FF616669"/>
      <name val="Verdana"/>
      <family val="2"/>
    </font>
    <font>
      <sz val="9"/>
      <color rgb="FF616669"/>
      <name val="Verdana"/>
      <family val="2"/>
    </font>
    <font>
      <sz val="9"/>
      <color rgb="FF003399"/>
      <name val="Verdana"/>
      <family val="2"/>
    </font>
    <font>
      <sz val="9"/>
      <color rgb="FF666699"/>
      <name val="Verdana"/>
      <family val="2"/>
    </font>
    <font>
      <b/>
      <sz val="10"/>
      <color rgb="FF9ACA3C"/>
      <name val="Verdana"/>
      <family val="2"/>
    </font>
    <font>
      <sz val="10"/>
      <color theme="1"/>
      <name val="Calibri"/>
      <family val="2"/>
      <scheme val="minor"/>
    </font>
    <font>
      <b/>
      <sz val="10"/>
      <color rgb="FF616669"/>
      <name val="Verdana"/>
      <family val="2"/>
    </font>
    <font>
      <sz val="10"/>
      <color rgb="FF616669"/>
      <name val="Verdana"/>
      <family val="2"/>
    </font>
    <font>
      <sz val="10"/>
      <color rgb="FF666699"/>
      <name val="Verdana"/>
      <family val="2"/>
    </font>
    <font>
      <sz val="14"/>
      <color theme="1"/>
      <name val="Arial"/>
      <family val="2"/>
    </font>
    <font>
      <b/>
      <sz val="10"/>
      <color rgb="FF3D5A65"/>
      <name val="Verdana"/>
      <family val="2"/>
    </font>
    <font>
      <sz val="10"/>
      <color rgb="FFFF00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7"/>
      <color rgb="FF666699"/>
      <name val="Verdana"/>
      <family val="2"/>
    </font>
    <font>
      <sz val="11"/>
      <color theme="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DFE5"/>
        <bgColor indexed="64"/>
      </patternFill>
    </fill>
    <fill>
      <patternFill patternType="solid">
        <fgColor rgb="FFE2ECF0"/>
        <bgColor indexed="64"/>
      </patternFill>
    </fill>
    <fill>
      <patternFill patternType="solid">
        <fgColor rgb="FFDCE9EF"/>
        <bgColor indexed="64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3E3399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214">
    <xf numFmtId="0" fontId="0" fillId="0" borderId="0" xfId="0"/>
    <xf numFmtId="2" fontId="0" fillId="0" borderId="0" xfId="0" applyNumberFormat="1"/>
    <xf numFmtId="0" fontId="3" fillId="0" borderId="3" xfId="3" applyFont="1" applyBorder="1" applyAlignment="1" applyProtection="1"/>
    <xf numFmtId="0" fontId="4" fillId="0" borderId="3" xfId="0" applyFont="1" applyBorder="1"/>
    <xf numFmtId="0" fontId="3" fillId="0" borderId="5" xfId="3" applyFont="1" applyBorder="1" applyAlignment="1" applyProtection="1"/>
    <xf numFmtId="0" fontId="5" fillId="0" borderId="1" xfId="3" applyFont="1" applyBorder="1" applyAlignment="1" applyProtection="1">
      <alignment horizontal="center"/>
    </xf>
    <xf numFmtId="2" fontId="4" fillId="0" borderId="7" xfId="0" applyNumberFormat="1" applyFont="1" applyBorder="1"/>
    <xf numFmtId="0" fontId="4" fillId="0" borderId="7" xfId="0" applyFont="1" applyBorder="1"/>
    <xf numFmtId="0" fontId="6" fillId="2" borderId="3" xfId="0" applyFont="1" applyFill="1" applyBorder="1"/>
    <xf numFmtId="0" fontId="7" fillId="0" borderId="0" xfId="0" applyFont="1"/>
    <xf numFmtId="0" fontId="8" fillId="2" borderId="4" xfId="0" applyFont="1" applyFill="1" applyBorder="1" applyAlignment="1">
      <alignment horizontal="left"/>
    </xf>
    <xf numFmtId="165" fontId="9" fillId="0" borderId="3" xfId="1" applyNumberFormat="1" applyFont="1" applyBorder="1"/>
    <xf numFmtId="165" fontId="9" fillId="0" borderId="4" xfId="1" applyNumberFormat="1" applyFont="1" applyBorder="1"/>
    <xf numFmtId="0" fontId="10" fillId="0" borderId="0" xfId="0" applyFont="1"/>
    <xf numFmtId="165" fontId="9" fillId="0" borderId="3" xfId="0" applyNumberFormat="1" applyFont="1" applyBorder="1"/>
    <xf numFmtId="165" fontId="9" fillId="0" borderId="4" xfId="0" applyNumberFormat="1" applyFont="1" applyBorder="1"/>
    <xf numFmtId="165" fontId="11" fillId="0" borderId="7" xfId="1" applyNumberFormat="1" applyFont="1" applyBorder="1"/>
    <xf numFmtId="0" fontId="12" fillId="2" borderId="11" xfId="0" applyFont="1" applyFill="1" applyBorder="1" applyAlignment="1">
      <alignment horizontal="left"/>
    </xf>
    <xf numFmtId="165" fontId="12" fillId="2" borderId="13" xfId="1" applyNumberFormat="1" applyFont="1" applyFill="1" applyBorder="1"/>
    <xf numFmtId="165" fontId="12" fillId="2" borderId="14" xfId="1" applyNumberFormat="1" applyFont="1" applyFill="1" applyBorder="1"/>
    <xf numFmtId="0" fontId="13" fillId="0" borderId="0" xfId="0" applyFont="1"/>
    <xf numFmtId="0" fontId="14" fillId="2" borderId="3" xfId="0" applyFont="1" applyFill="1" applyBorder="1"/>
    <xf numFmtId="165" fontId="11" fillId="0" borderId="11" xfId="1" applyNumberFormat="1" applyFont="1" applyBorder="1"/>
    <xf numFmtId="0" fontId="6" fillId="2" borderId="0" xfId="0" applyFont="1" applyFill="1"/>
    <xf numFmtId="165" fontId="11" fillId="0" borderId="3" xfId="1" applyNumberFormat="1" applyFont="1" applyBorder="1"/>
    <xf numFmtId="0" fontId="12" fillId="2" borderId="3" xfId="0" applyFont="1" applyFill="1" applyBorder="1" applyAlignment="1">
      <alignment horizontal="left"/>
    </xf>
    <xf numFmtId="165" fontId="11" fillId="0" borderId="12" xfId="1" applyNumberFormat="1" applyFont="1" applyBorder="1"/>
    <xf numFmtId="0" fontId="8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9" fillId="0" borderId="3" xfId="0" applyFont="1" applyBorder="1"/>
    <xf numFmtId="0" fontId="11" fillId="0" borderId="3" xfId="0" applyFont="1" applyBorder="1"/>
    <xf numFmtId="165" fontId="9" fillId="3" borderId="3" xfId="4" applyNumberFormat="1" applyFont="1" applyFill="1" applyBorder="1"/>
    <xf numFmtId="165" fontId="11" fillId="3" borderId="11" xfId="4" applyNumberFormat="1" applyFont="1" applyFill="1" applyBorder="1"/>
    <xf numFmtId="165" fontId="11" fillId="3" borderId="3" xfId="4" applyNumberFormat="1" applyFont="1" applyFill="1" applyBorder="1"/>
    <xf numFmtId="165" fontId="11" fillId="3" borderId="7" xfId="4" applyNumberFormat="1" applyFont="1" applyFill="1" applyBorder="1"/>
    <xf numFmtId="0" fontId="19" fillId="2" borderId="7" xfId="0" applyFont="1" applyFill="1" applyBorder="1" applyAlignment="1">
      <alignment horizontal="left"/>
    </xf>
    <xf numFmtId="165" fontId="11" fillId="3" borderId="16" xfId="4" applyNumberFormat="1" applyFont="1" applyFill="1" applyBorder="1"/>
    <xf numFmtId="165" fontId="12" fillId="0" borderId="7" xfId="4" applyNumberFormat="1" applyFont="1" applyFill="1" applyBorder="1"/>
    <xf numFmtId="165" fontId="12" fillId="0" borderId="11" xfId="4" applyNumberFormat="1" applyFont="1" applyFill="1" applyBorder="1"/>
    <xf numFmtId="0" fontId="12" fillId="2" borderId="7" xfId="0" applyFont="1" applyFill="1" applyBorder="1" applyAlignment="1">
      <alignment horizontal="center"/>
    </xf>
    <xf numFmtId="165" fontId="11" fillId="3" borderId="13" xfId="4" applyNumberFormat="1" applyFont="1" applyFill="1" applyBorder="1"/>
    <xf numFmtId="165" fontId="12" fillId="0" borderId="13" xfId="4" applyNumberFormat="1" applyFont="1" applyFill="1" applyBorder="1"/>
    <xf numFmtId="165" fontId="4" fillId="3" borderId="10" xfId="4" applyNumberFormat="1" applyFont="1" applyFill="1" applyBorder="1"/>
    <xf numFmtId="165" fontId="18" fillId="0" borderId="11" xfId="4" applyNumberFormat="1" applyFont="1" applyFill="1" applyBorder="1"/>
    <xf numFmtId="165" fontId="15" fillId="3" borderId="13" xfId="4" applyNumberFormat="1" applyFont="1" applyFill="1" applyBorder="1"/>
    <xf numFmtId="0" fontId="18" fillId="2" borderId="11" xfId="0" applyFont="1" applyFill="1" applyBorder="1" applyAlignment="1">
      <alignment horizontal="center"/>
    </xf>
    <xf numFmtId="165" fontId="8" fillId="3" borderId="15" xfId="4" applyNumberFormat="1" applyFont="1" applyFill="1" applyBorder="1" applyAlignment="1"/>
    <xf numFmtId="9" fontId="11" fillId="3" borderId="16" xfId="2" applyFont="1" applyFill="1" applyBorder="1"/>
    <xf numFmtId="165" fontId="8" fillId="3" borderId="11" xfId="4" applyNumberFormat="1" applyFont="1" applyFill="1" applyBorder="1" applyAlignment="1"/>
    <xf numFmtId="9" fontId="11" fillId="3" borderId="11" xfId="2" applyFont="1" applyFill="1" applyBorder="1"/>
    <xf numFmtId="165" fontId="21" fillId="3" borderId="11" xfId="4" applyNumberFormat="1" applyFont="1" applyFill="1" applyBorder="1"/>
    <xf numFmtId="165" fontId="11" fillId="3" borderId="11" xfId="4" applyNumberFormat="1" applyFont="1" applyFill="1" applyBorder="1" applyAlignment="1">
      <alignment horizontal="center"/>
    </xf>
    <xf numFmtId="165" fontId="11" fillId="3" borderId="10" xfId="4" applyNumberFormat="1" applyFont="1" applyFill="1" applyBorder="1" applyAlignment="1">
      <alignment horizontal="center"/>
    </xf>
    <xf numFmtId="165" fontId="9" fillId="3" borderId="0" xfId="4" applyNumberFormat="1" applyFont="1" applyFill="1" applyAlignment="1"/>
    <xf numFmtId="165" fontId="17" fillId="3" borderId="0" xfId="4" applyNumberFormat="1" applyFont="1" applyFill="1" applyBorder="1"/>
    <xf numFmtId="165" fontId="9" fillId="3" borderId="2" xfId="4" applyNumberFormat="1" applyFont="1" applyFill="1" applyBorder="1"/>
    <xf numFmtId="165" fontId="9" fillId="3" borderId="4" xfId="4" applyNumberFormat="1" applyFont="1" applyFill="1" applyBorder="1"/>
    <xf numFmtId="165" fontId="9" fillId="3" borderId="5" xfId="4" applyNumberFormat="1" applyFont="1" applyFill="1" applyBorder="1"/>
    <xf numFmtId="165" fontId="9" fillId="3" borderId="1" xfId="4" applyNumberFormat="1" applyFont="1" applyFill="1" applyBorder="1"/>
    <xf numFmtId="165" fontId="11" fillId="3" borderId="18" xfId="4" applyNumberFormat="1" applyFont="1" applyFill="1" applyBorder="1"/>
    <xf numFmtId="165" fontId="8" fillId="3" borderId="2" xfId="4" applyNumberFormat="1" applyFont="1" applyFill="1" applyBorder="1" applyAlignment="1"/>
    <xf numFmtId="165" fontId="9" fillId="3" borderId="12" xfId="4" applyNumberFormat="1" applyFont="1" applyFill="1" applyBorder="1"/>
    <xf numFmtId="9" fontId="9" fillId="3" borderId="3" xfId="2" applyFont="1" applyFill="1" applyBorder="1"/>
    <xf numFmtId="0" fontId="9" fillId="3" borderId="3" xfId="0" applyFont="1" applyFill="1" applyBorder="1"/>
    <xf numFmtId="166" fontId="9" fillId="0" borderId="11" xfId="1" applyNumberFormat="1" applyFont="1" applyBorder="1"/>
    <xf numFmtId="165" fontId="11" fillId="0" borderId="3" xfId="1" applyNumberFormat="1" applyFont="1" applyBorder="1" applyAlignment="1"/>
    <xf numFmtId="167" fontId="11" fillId="0" borderId="3" xfId="1" applyNumberFormat="1" applyFont="1" applyBorder="1" applyAlignment="1"/>
    <xf numFmtId="0" fontId="3" fillId="0" borderId="4" xfId="3" applyFont="1" applyBorder="1" applyAlignment="1" applyProtection="1"/>
    <xf numFmtId="0" fontId="3" fillId="0" borderId="6" xfId="3" applyFont="1" applyBorder="1" applyAlignment="1" applyProtection="1"/>
    <xf numFmtId="2" fontId="4" fillId="0" borderId="8" xfId="0" applyNumberFormat="1" applyFont="1" applyBorder="1"/>
    <xf numFmtId="165" fontId="11" fillId="0" borderId="8" xfId="1" applyNumberFormat="1" applyFont="1" applyBorder="1"/>
    <xf numFmtId="165" fontId="11" fillId="0" borderId="4" xfId="1" applyNumberFormat="1" applyFont="1" applyBorder="1"/>
    <xf numFmtId="2" fontId="4" fillId="0" borderId="3" xfId="0" applyNumberFormat="1" applyFont="1" applyBorder="1"/>
    <xf numFmtId="165" fontId="12" fillId="2" borderId="3" xfId="1" applyNumberFormat="1" applyFont="1" applyFill="1" applyBorder="1"/>
    <xf numFmtId="165" fontId="6" fillId="2" borderId="3" xfId="1" applyNumberFormat="1" applyFont="1" applyFill="1" applyBorder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0" applyFont="1"/>
    <xf numFmtId="0" fontId="25" fillId="4" borderId="0" xfId="0" applyFont="1" applyFill="1" applyAlignment="1">
      <alignment horizontal="left" vertical="center"/>
    </xf>
    <xf numFmtId="0" fontId="26" fillId="5" borderId="19" xfId="0" applyFont="1" applyFill="1" applyBorder="1" applyAlignment="1">
      <alignment vertical="center"/>
    </xf>
    <xf numFmtId="14" fontId="26" fillId="5" borderId="19" xfId="0" applyNumberFormat="1" applyFont="1" applyFill="1" applyBorder="1" applyAlignment="1">
      <alignment vertical="center"/>
    </xf>
    <xf numFmtId="0" fontId="26" fillId="6" borderId="19" xfId="0" applyFont="1" applyFill="1" applyBorder="1" applyAlignment="1">
      <alignment vertical="center"/>
    </xf>
    <xf numFmtId="14" fontId="26" fillId="6" borderId="19" xfId="0" applyNumberFormat="1" applyFont="1" applyFill="1" applyBorder="1" applyAlignment="1">
      <alignment vertical="center"/>
    </xf>
    <xf numFmtId="0" fontId="26" fillId="5" borderId="2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4" borderId="0" xfId="0" applyFont="1" applyFill="1" applyAlignment="1">
      <alignment horizontal="center" vertical="center"/>
    </xf>
    <xf numFmtId="0" fontId="26" fillId="5" borderId="21" xfId="0" applyFont="1" applyFill="1" applyBorder="1" applyAlignment="1">
      <alignment vertical="center"/>
    </xf>
    <xf numFmtId="2" fontId="11" fillId="0" borderId="9" xfId="0" applyNumberFormat="1" applyFont="1" applyBorder="1" applyAlignment="1">
      <alignment horizontal="center"/>
    </xf>
    <xf numFmtId="165" fontId="11" fillId="3" borderId="22" xfId="4" applyNumberFormat="1" applyFont="1" applyFill="1" applyBorder="1"/>
    <xf numFmtId="165" fontId="11" fillId="3" borderId="23" xfId="4" applyNumberFormat="1" applyFont="1" applyFill="1" applyBorder="1"/>
    <xf numFmtId="0" fontId="19" fillId="2" borderId="5" xfId="0" applyFont="1" applyFill="1" applyBorder="1" applyAlignment="1">
      <alignment horizontal="left"/>
    </xf>
    <xf numFmtId="165" fontId="12" fillId="0" borderId="5" xfId="4" applyNumberFormat="1" applyFont="1" applyFill="1" applyBorder="1"/>
    <xf numFmtId="0" fontId="20" fillId="0" borderId="11" xfId="0" applyFont="1" applyBorder="1"/>
    <xf numFmtId="0" fontId="20" fillId="0" borderId="1" xfId="3" applyFont="1" applyBorder="1" applyAlignment="1" applyProtection="1"/>
    <xf numFmtId="0" fontId="20" fillId="0" borderId="17" xfId="3" applyFont="1" applyBorder="1" applyAlignment="1" applyProtection="1"/>
    <xf numFmtId="165" fontId="8" fillId="2" borderId="3" xfId="4" applyNumberFormat="1" applyFont="1" applyFill="1" applyBorder="1"/>
    <xf numFmtId="0" fontId="9" fillId="0" borderId="7" xfId="0" applyFont="1" applyBorder="1"/>
    <xf numFmtId="0" fontId="0" fillId="0" borderId="3" xfId="0" applyBorder="1"/>
    <xf numFmtId="2" fontId="0" fillId="0" borderId="3" xfId="0" applyNumberFormat="1" applyBorder="1"/>
    <xf numFmtId="0" fontId="11" fillId="0" borderId="3" xfId="0" applyFont="1" applyBorder="1" applyAlignment="1">
      <alignment horizontal="center"/>
    </xf>
    <xf numFmtId="0" fontId="28" fillId="5" borderId="19" xfId="0" applyFont="1" applyFill="1" applyBorder="1" applyAlignment="1">
      <alignment vertical="center"/>
    </xf>
    <xf numFmtId="0" fontId="10" fillId="0" borderId="3" xfId="0" applyFont="1" applyBorder="1"/>
    <xf numFmtId="165" fontId="12" fillId="0" borderId="3" xfId="4" applyNumberFormat="1" applyFont="1" applyFill="1" applyBorder="1"/>
    <xf numFmtId="0" fontId="12" fillId="2" borderId="2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vertical="center"/>
    </xf>
    <xf numFmtId="0" fontId="34" fillId="0" borderId="0" xfId="0" applyFont="1"/>
    <xf numFmtId="0" fontId="35" fillId="4" borderId="0" xfId="0" applyFont="1" applyFill="1" applyAlignment="1">
      <alignment horizontal="left" vertical="center"/>
    </xf>
    <xf numFmtId="0" fontId="36" fillId="5" borderId="19" xfId="0" applyFont="1" applyFill="1" applyBorder="1" applyAlignment="1">
      <alignment vertical="center"/>
    </xf>
    <xf numFmtId="14" fontId="36" fillId="5" borderId="19" xfId="0" applyNumberFormat="1" applyFont="1" applyFill="1" applyBorder="1" applyAlignment="1">
      <alignment vertical="center"/>
    </xf>
    <xf numFmtId="0" fontId="36" fillId="6" borderId="19" xfId="0" applyFont="1" applyFill="1" applyBorder="1" applyAlignment="1">
      <alignment vertical="center"/>
    </xf>
    <xf numFmtId="14" fontId="36" fillId="6" borderId="19" xfId="0" applyNumberFormat="1" applyFont="1" applyFill="1" applyBorder="1" applyAlignment="1">
      <alignment vertical="center"/>
    </xf>
    <xf numFmtId="0" fontId="36" fillId="5" borderId="20" xfId="0" applyFont="1" applyFill="1" applyBorder="1" applyAlignment="1">
      <alignment vertical="center"/>
    </xf>
    <xf numFmtId="0" fontId="35" fillId="4" borderId="0" xfId="0" applyFont="1" applyFill="1" applyAlignment="1">
      <alignment horizontal="center" vertical="center"/>
    </xf>
    <xf numFmtId="0" fontId="36" fillId="5" borderId="21" xfId="0" applyFont="1" applyFill="1" applyBorder="1" applyAlignment="1">
      <alignment vertical="center"/>
    </xf>
    <xf numFmtId="166" fontId="11" fillId="0" borderId="18" xfId="1" applyNumberFormat="1" applyFont="1" applyBorder="1" applyAlignment="1">
      <alignment horizontal="right"/>
    </xf>
    <xf numFmtId="165" fontId="16" fillId="3" borderId="2" xfId="4" applyNumberFormat="1" applyFont="1" applyFill="1" applyBorder="1" applyAlignment="1" applyProtection="1">
      <alignment horizontal="left"/>
    </xf>
    <xf numFmtId="0" fontId="37" fillId="0" borderId="0" xfId="0" applyFont="1" applyAlignment="1">
      <alignment vertical="center"/>
    </xf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1" fillId="5" borderId="19" xfId="0" applyFont="1" applyFill="1" applyBorder="1" applyAlignment="1">
      <alignment vertical="center"/>
    </xf>
    <xf numFmtId="14" fontId="41" fillId="5" borderId="19" xfId="0" applyNumberFormat="1" applyFont="1" applyFill="1" applyBorder="1" applyAlignment="1">
      <alignment vertical="center"/>
    </xf>
    <xf numFmtId="0" fontId="41" fillId="5" borderId="20" xfId="0" applyFont="1" applyFill="1" applyBorder="1" applyAlignment="1">
      <alignment vertical="center"/>
    </xf>
    <xf numFmtId="0" fontId="11" fillId="0" borderId="14" xfId="0" applyFont="1" applyBorder="1"/>
    <xf numFmtId="0" fontId="11" fillId="0" borderId="13" xfId="0" applyFont="1" applyBorder="1"/>
    <xf numFmtId="0" fontId="4" fillId="0" borderId="12" xfId="0" applyFont="1" applyBorder="1"/>
    <xf numFmtId="165" fontId="15" fillId="0" borderId="11" xfId="0" applyNumberFormat="1" applyFont="1" applyBorder="1"/>
    <xf numFmtId="165" fontId="4" fillId="0" borderId="11" xfId="0" applyNumberFormat="1" applyFont="1" applyBorder="1"/>
    <xf numFmtId="0" fontId="4" fillId="0" borderId="8" xfId="0" applyFont="1" applyBorder="1"/>
    <xf numFmtId="0" fontId="0" fillId="0" borderId="11" xfId="0" applyBorder="1"/>
    <xf numFmtId="0" fontId="0" fillId="0" borderId="7" xfId="0" applyBorder="1"/>
    <xf numFmtId="0" fontId="19" fillId="2" borderId="6" xfId="0" applyFont="1" applyFill="1" applyBorder="1" applyAlignment="1">
      <alignment horizontal="left"/>
    </xf>
    <xf numFmtId="165" fontId="11" fillId="3" borderId="25" xfId="4" applyNumberFormat="1" applyFont="1" applyFill="1" applyBorder="1"/>
    <xf numFmtId="0" fontId="16" fillId="0" borderId="3" xfId="0" applyFont="1" applyBorder="1"/>
    <xf numFmtId="0" fontId="6" fillId="2" borderId="5" xfId="0" applyFont="1" applyFill="1" applyBorder="1" applyAlignment="1">
      <alignment horizontal="left"/>
    </xf>
    <xf numFmtId="165" fontId="11" fillId="3" borderId="3" xfId="4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top"/>
    </xf>
    <xf numFmtId="165" fontId="8" fillId="0" borderId="3" xfId="4" applyNumberFormat="1" applyFont="1" applyFill="1" applyBorder="1"/>
    <xf numFmtId="165" fontId="8" fillId="2" borderId="7" xfId="4" applyNumberFormat="1" applyFont="1" applyFill="1" applyBorder="1"/>
    <xf numFmtId="165" fontId="8" fillId="0" borderId="7" xfId="4" applyNumberFormat="1" applyFont="1" applyFill="1" applyBorder="1"/>
    <xf numFmtId="165" fontId="12" fillId="2" borderId="11" xfId="4" applyNumberFormat="1" applyFont="1" applyFill="1" applyBorder="1"/>
    <xf numFmtId="165" fontId="12" fillId="3" borderId="26" xfId="4" applyNumberFormat="1" applyFont="1" applyFill="1" applyBorder="1" applyAlignment="1">
      <alignment horizontal="center"/>
    </xf>
    <xf numFmtId="165" fontId="8" fillId="2" borderId="3" xfId="1" applyNumberFormat="1" applyFont="1" applyFill="1" applyBorder="1"/>
    <xf numFmtId="165" fontId="8" fillId="2" borderId="7" xfId="1" applyNumberFormat="1" applyFont="1" applyFill="1" applyBorder="1"/>
    <xf numFmtId="165" fontId="12" fillId="2" borderId="11" xfId="1" applyNumberFormat="1" applyFont="1" applyFill="1" applyBorder="1"/>
    <xf numFmtId="165" fontId="12" fillId="2" borderId="7" xfId="1" applyNumberFormat="1" applyFont="1" applyFill="1" applyBorder="1"/>
    <xf numFmtId="165" fontId="12" fillId="2" borderId="8" xfId="1" applyNumberFormat="1" applyFont="1" applyFill="1" applyBorder="1"/>
    <xf numFmtId="9" fontId="11" fillId="3" borderId="7" xfId="2" applyFont="1" applyFill="1" applyBorder="1"/>
    <xf numFmtId="0" fontId="0" fillId="0" borderId="12" xfId="0" applyBorder="1"/>
    <xf numFmtId="0" fontId="0" fillId="0" borderId="4" xfId="0" applyBorder="1"/>
    <xf numFmtId="0" fontId="7" fillId="0" borderId="4" xfId="0" applyFont="1" applyBorder="1"/>
    <xf numFmtId="0" fontId="10" fillId="0" borderId="4" xfId="0" applyFont="1" applyBorder="1"/>
    <xf numFmtId="0" fontId="0" fillId="0" borderId="5" xfId="0" applyBorder="1"/>
    <xf numFmtId="0" fontId="0" fillId="0" borderId="6" xfId="0" applyBorder="1"/>
    <xf numFmtId="0" fontId="42" fillId="0" borderId="3" xfId="0" applyFont="1" applyBorder="1"/>
    <xf numFmtId="165" fontId="8" fillId="2" borderId="5" xfId="1" applyNumberFormat="1" applyFont="1" applyFill="1" applyBorder="1"/>
    <xf numFmtId="164" fontId="0" fillId="0" borderId="0" xfId="1" applyFont="1"/>
    <xf numFmtId="164" fontId="9" fillId="0" borderId="3" xfId="1" applyFont="1" applyBorder="1"/>
    <xf numFmtId="164" fontId="42" fillId="0" borderId="3" xfId="1" applyFont="1" applyBorder="1"/>
    <xf numFmtId="0" fontId="9" fillId="0" borderId="4" xfId="0" applyFont="1" applyBorder="1"/>
    <xf numFmtId="0" fontId="41" fillId="6" borderId="19" xfId="0" applyFont="1" applyFill="1" applyBorder="1" applyAlignment="1">
      <alignment vertical="center"/>
    </xf>
    <xf numFmtId="14" fontId="41" fillId="6" borderId="19" xfId="0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1" fillId="5" borderId="21" xfId="0" applyFont="1" applyFill="1" applyBorder="1" applyAlignment="1">
      <alignment vertical="center"/>
    </xf>
    <xf numFmtId="164" fontId="9" fillId="0" borderId="4" xfId="1" applyFont="1" applyBorder="1"/>
    <xf numFmtId="0" fontId="0" fillId="0" borderId="8" xfId="0" applyBorder="1"/>
    <xf numFmtId="0" fontId="9" fillId="0" borderId="8" xfId="0" applyFont="1" applyBorder="1"/>
    <xf numFmtId="0" fontId="44" fillId="5" borderId="19" xfId="0" applyFont="1" applyFill="1" applyBorder="1" applyAlignment="1">
      <alignment vertical="center"/>
    </xf>
    <xf numFmtId="164" fontId="7" fillId="0" borderId="0" xfId="1" applyFont="1"/>
    <xf numFmtId="165" fontId="9" fillId="0" borderId="3" xfId="1" applyNumberFormat="1" applyFont="1" applyBorder="1" applyAlignment="1">
      <alignment horizontal="right" vertical="top"/>
    </xf>
    <xf numFmtId="166" fontId="9" fillId="0" borderId="0" xfId="0" applyNumberFormat="1" applyFont="1"/>
    <xf numFmtId="0" fontId="10" fillId="0" borderId="8" xfId="0" applyFont="1" applyBorder="1"/>
    <xf numFmtId="164" fontId="10" fillId="0" borderId="4" xfId="1" applyFont="1" applyBorder="1"/>
    <xf numFmtId="164" fontId="7" fillId="0" borderId="4" xfId="1" applyFont="1" applyBorder="1"/>
    <xf numFmtId="1" fontId="9" fillId="0" borderId="4" xfId="0" applyNumberFormat="1" applyFont="1" applyBorder="1"/>
    <xf numFmtId="0" fontId="4" fillId="0" borderId="22" xfId="0" applyFont="1" applyBorder="1"/>
    <xf numFmtId="2" fontId="4" fillId="0" borderId="22" xfId="0" applyNumberFormat="1" applyFont="1" applyBorder="1"/>
    <xf numFmtId="0" fontId="0" fillId="0" borderId="22" xfId="0" applyBorder="1"/>
    <xf numFmtId="0" fontId="45" fillId="0" borderId="0" xfId="0" applyFont="1"/>
    <xf numFmtId="3" fontId="0" fillId="0" borderId="0" xfId="0" applyNumberFormat="1"/>
    <xf numFmtId="14" fontId="0" fillId="0" borderId="0" xfId="0" applyNumberFormat="1"/>
    <xf numFmtId="0" fontId="46" fillId="0" borderId="0" xfId="0" applyFont="1"/>
    <xf numFmtId="14" fontId="46" fillId="0" borderId="0" xfId="0" applyNumberFormat="1" applyFont="1"/>
    <xf numFmtId="3" fontId="46" fillId="0" borderId="0" xfId="0" applyNumberFormat="1" applyFont="1"/>
    <xf numFmtId="3" fontId="45" fillId="0" borderId="0" xfId="0" applyNumberFormat="1" applyFont="1"/>
    <xf numFmtId="0" fontId="47" fillId="5" borderId="19" xfId="0" applyFont="1" applyFill="1" applyBorder="1" applyAlignment="1">
      <alignment vertical="center" wrapText="1"/>
    </xf>
    <xf numFmtId="14" fontId="48" fillId="0" borderId="0" xfId="0" applyNumberFormat="1" applyFont="1"/>
    <xf numFmtId="14" fontId="48" fillId="3" borderId="0" xfId="0" applyNumberFormat="1" applyFont="1" applyFill="1"/>
    <xf numFmtId="0" fontId="49" fillId="0" borderId="0" xfId="0" applyFont="1"/>
    <xf numFmtId="0" fontId="29" fillId="2" borderId="4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165" fontId="16" fillId="3" borderId="4" xfId="4" applyNumberFormat="1" applyFont="1" applyFill="1" applyBorder="1" applyAlignment="1" applyProtection="1">
      <alignment horizontal="left"/>
    </xf>
    <xf numFmtId="165" fontId="16" fillId="3" borderId="17" xfId="4" applyNumberFormat="1" applyFont="1" applyFill="1" applyBorder="1" applyAlignment="1" applyProtection="1">
      <alignment horizontal="left"/>
    </xf>
    <xf numFmtId="165" fontId="16" fillId="3" borderId="2" xfId="4" applyNumberFormat="1" applyFont="1" applyFill="1" applyBorder="1" applyAlignment="1" applyProtection="1">
      <alignment horizontal="left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2" fontId="11" fillId="0" borderId="27" xfId="0" applyNumberFormat="1" applyFont="1" applyBorder="1" applyAlignment="1">
      <alignment horizontal="center" wrapText="1"/>
    </xf>
    <xf numFmtId="2" fontId="11" fillId="0" borderId="28" xfId="0" applyNumberFormat="1" applyFont="1" applyBorder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50" fillId="0" borderId="0" xfId="0" applyFont="1" applyFill="1" applyBorder="1"/>
    <xf numFmtId="0" fontId="42" fillId="0" borderId="0" xfId="0" applyFont="1" applyFill="1" applyBorder="1"/>
  </cellXfs>
  <cellStyles count="5">
    <cellStyle name="Comma" xfId="1" builtinId="3"/>
    <cellStyle name="Comma 2" xfId="4" xr:uid="{00000000-0005-0000-0000-000001000000}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27</xdr:row>
          <xdr:rowOff>0</xdr:rowOff>
        </xdr:from>
        <xdr:to>
          <xdr:col>16</xdr:col>
          <xdr:colOff>358140</xdr:colOff>
          <xdr:row>28</xdr:row>
          <xdr:rowOff>114300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9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27</xdr:row>
          <xdr:rowOff>0</xdr:rowOff>
        </xdr:from>
        <xdr:to>
          <xdr:col>17</xdr:col>
          <xdr:colOff>358140</xdr:colOff>
          <xdr:row>28</xdr:row>
          <xdr:rowOff>114300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D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</xdr:row>
          <xdr:rowOff>0</xdr:rowOff>
        </xdr:from>
        <xdr:to>
          <xdr:col>9</xdr:col>
          <xdr:colOff>358140</xdr:colOff>
          <xdr:row>28</xdr:row>
          <xdr:rowOff>114300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1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control" Target="../activeX/activeX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0FC6-DA6C-4132-A836-F286BB118C90}">
  <dimension ref="A2:Y418"/>
  <sheetViews>
    <sheetView topLeftCell="A62" zoomScale="98" zoomScaleNormal="98" workbookViewId="0">
      <pane xSplit="1" topLeftCell="B1" activePane="topRight" state="frozen"/>
      <selection activeCell="A7" sqref="A7"/>
      <selection pane="topRight" activeCell="G5" sqref="G5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2" spans="1:25" x14ac:dyDescent="0.3">
      <c r="A2" t="s">
        <v>470</v>
      </c>
    </row>
    <row r="3" spans="1:25" x14ac:dyDescent="0.3">
      <c r="A3" t="s">
        <v>471</v>
      </c>
    </row>
    <row r="5" spans="1:25" ht="18" x14ac:dyDescent="0.35">
      <c r="A5" s="197" t="s">
        <v>476</v>
      </c>
    </row>
    <row r="7" spans="1:25" ht="15.6" x14ac:dyDescent="0.3">
      <c r="A7" s="94" t="s">
        <v>361</v>
      </c>
      <c r="F7" s="98"/>
      <c r="G7" s="98"/>
      <c r="H7" s="138"/>
      <c r="I7" s="138"/>
      <c r="J7" s="138"/>
      <c r="K7" s="138"/>
      <c r="L7" s="138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</row>
    <row r="8" spans="1:25" ht="21" x14ac:dyDescent="0.4">
      <c r="A8" s="95" t="s">
        <v>380</v>
      </c>
      <c r="B8" s="2"/>
      <c r="C8" s="67"/>
      <c r="D8" s="2"/>
      <c r="E8" s="2"/>
      <c r="F8" s="98"/>
      <c r="G8" s="98"/>
      <c r="H8" s="98"/>
      <c r="I8" s="98"/>
      <c r="J8" s="98"/>
      <c r="K8" s="98"/>
      <c r="L8" s="9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</row>
    <row r="9" spans="1:25" ht="12.75" customHeight="1" x14ac:dyDescent="0.4">
      <c r="B9" s="4"/>
      <c r="C9" s="68"/>
      <c r="D9" s="2"/>
      <c r="E9" s="2"/>
      <c r="F9" s="98"/>
      <c r="G9" s="98"/>
      <c r="H9" s="98"/>
      <c r="I9" s="98"/>
      <c r="J9" s="98"/>
      <c r="K9" s="98"/>
      <c r="L9" s="9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</row>
    <row r="10" spans="1:25" ht="15" thickBot="1" x14ac:dyDescent="0.35">
      <c r="A10" s="5"/>
      <c r="B10" s="6"/>
      <c r="C10" s="69"/>
      <c r="D10" s="6"/>
      <c r="E10" s="6"/>
      <c r="F10" s="139"/>
      <c r="G10" s="139"/>
      <c r="H10" s="139"/>
      <c r="I10" s="139"/>
      <c r="J10" s="139"/>
      <c r="K10" s="139"/>
      <c r="L10" s="139"/>
      <c r="M10" s="139"/>
      <c r="N10" s="174"/>
      <c r="O10" s="139"/>
      <c r="P10" s="174"/>
      <c r="Q10" s="139"/>
      <c r="R10" s="174"/>
      <c r="S10" s="139"/>
      <c r="T10" s="174"/>
      <c r="U10" s="139"/>
      <c r="V10" s="139"/>
      <c r="W10" s="139"/>
      <c r="X10" s="139"/>
      <c r="Y10" s="139"/>
    </row>
    <row r="11" spans="1:25" s="9" customFormat="1" ht="15.75" customHeight="1" x14ac:dyDescent="0.35">
      <c r="A11" s="8" t="s">
        <v>0</v>
      </c>
      <c r="B11" s="205" t="s">
        <v>133</v>
      </c>
      <c r="C11" s="205"/>
      <c r="D11" s="206" t="s">
        <v>149</v>
      </c>
      <c r="E11" s="207"/>
      <c r="F11" s="208" t="s">
        <v>181</v>
      </c>
      <c r="G11" s="209"/>
      <c r="H11" s="203" t="s">
        <v>211</v>
      </c>
      <c r="I11" s="204"/>
      <c r="J11" s="210" t="s">
        <v>213</v>
      </c>
      <c r="K11" s="211"/>
      <c r="L11" s="208" t="s">
        <v>229</v>
      </c>
      <c r="M11" s="209"/>
      <c r="N11" s="203" t="s">
        <v>247</v>
      </c>
      <c r="O11" s="204"/>
      <c r="P11" s="203" t="s">
        <v>280</v>
      </c>
      <c r="Q11" s="204"/>
      <c r="R11" s="203" t="s">
        <v>297</v>
      </c>
      <c r="S11" s="204"/>
      <c r="T11" s="203" t="s">
        <v>320</v>
      </c>
      <c r="U11" s="204"/>
      <c r="V11" s="203" t="s">
        <v>343</v>
      </c>
      <c r="W11" s="204"/>
      <c r="X11" s="203" t="s">
        <v>358</v>
      </c>
      <c r="Y11" s="204"/>
    </row>
    <row r="12" spans="1:25" s="9" customFormat="1" ht="15.75" customHeight="1" x14ac:dyDescent="0.35">
      <c r="A12" s="8"/>
      <c r="B12" s="88" t="s">
        <v>1</v>
      </c>
      <c r="C12" s="88" t="s">
        <v>150</v>
      </c>
      <c r="D12" s="88" t="s">
        <v>1</v>
      </c>
      <c r="E12" s="88" t="s">
        <v>150</v>
      </c>
      <c r="F12" s="88" t="s">
        <v>1</v>
      </c>
      <c r="G12" s="88" t="s">
        <v>150</v>
      </c>
      <c r="H12" s="88" t="s">
        <v>1</v>
      </c>
      <c r="I12" s="88" t="s">
        <v>150</v>
      </c>
      <c r="J12" s="88" t="s">
        <v>1</v>
      </c>
      <c r="K12" s="88" t="s">
        <v>150</v>
      </c>
      <c r="L12" s="88" t="s">
        <v>1</v>
      </c>
      <c r="M12" s="88" t="s">
        <v>150</v>
      </c>
      <c r="N12" s="88" t="s">
        <v>1</v>
      </c>
      <c r="O12" s="88" t="s">
        <v>150</v>
      </c>
      <c r="P12" s="88" t="s">
        <v>1</v>
      </c>
      <c r="Q12" s="88" t="s">
        <v>150</v>
      </c>
      <c r="R12" s="88" t="s">
        <v>1</v>
      </c>
      <c r="S12" s="88" t="s">
        <v>150</v>
      </c>
      <c r="T12" s="88" t="s">
        <v>1</v>
      </c>
      <c r="U12" s="88" t="s">
        <v>150</v>
      </c>
      <c r="V12" s="88" t="s">
        <v>1</v>
      </c>
      <c r="W12" s="88" t="s">
        <v>150</v>
      </c>
      <c r="X12" s="88" t="s">
        <v>1</v>
      </c>
      <c r="Y12" s="88" t="s">
        <v>150</v>
      </c>
    </row>
    <row r="13" spans="1:25" s="13" customFormat="1" ht="15.75" customHeight="1" x14ac:dyDescent="0.3">
      <c r="A13" s="10" t="s">
        <v>2</v>
      </c>
      <c r="B13" s="11">
        <v>15</v>
      </c>
      <c r="C13" s="12">
        <v>0</v>
      </c>
      <c r="D13" s="11">
        <f t="shared" ref="D13:Y13" si="0">B29</f>
        <v>5.3170000000000073</v>
      </c>
      <c r="E13" s="11">
        <f t="shared" si="0"/>
        <v>0</v>
      </c>
      <c r="F13" s="11">
        <f t="shared" si="0"/>
        <v>204.71199999999999</v>
      </c>
      <c r="G13" s="11">
        <f t="shared" si="0"/>
        <v>0</v>
      </c>
      <c r="H13" s="11">
        <f t="shared" si="0"/>
        <v>476.62599999999998</v>
      </c>
      <c r="I13" s="11">
        <f t="shared" si="0"/>
        <v>0</v>
      </c>
      <c r="J13" s="11">
        <f t="shared" si="0"/>
        <v>-501.92900000000009</v>
      </c>
      <c r="K13" s="11">
        <f t="shared" si="0"/>
        <v>0</v>
      </c>
      <c r="L13" s="11">
        <f t="shared" si="0"/>
        <v>-256.08570000000009</v>
      </c>
      <c r="M13" s="11">
        <f t="shared" si="0"/>
        <v>0</v>
      </c>
      <c r="N13" s="11">
        <f t="shared" si="0"/>
        <v>-290.18770000000018</v>
      </c>
      <c r="O13" s="11">
        <f t="shared" si="0"/>
        <v>0</v>
      </c>
      <c r="P13" s="11">
        <f t="shared" si="0"/>
        <v>-361.45850000000019</v>
      </c>
      <c r="Q13" s="11">
        <f t="shared" si="0"/>
        <v>0</v>
      </c>
      <c r="R13" s="11">
        <f t="shared" si="0"/>
        <v>-351.02350000000024</v>
      </c>
      <c r="S13" s="11">
        <f t="shared" si="0"/>
        <v>0</v>
      </c>
      <c r="T13" s="11">
        <f t="shared" si="0"/>
        <v>-356.59850000000029</v>
      </c>
      <c r="U13" s="11">
        <f t="shared" si="0"/>
        <v>0</v>
      </c>
      <c r="V13" s="11">
        <f t="shared" si="0"/>
        <v>49.054499999999734</v>
      </c>
      <c r="W13" s="11">
        <f t="shared" si="0"/>
        <v>0</v>
      </c>
      <c r="X13" s="11">
        <f t="shared" si="0"/>
        <v>-336.50050000000033</v>
      </c>
      <c r="Y13" s="11">
        <f t="shared" si="0"/>
        <v>0</v>
      </c>
    </row>
    <row r="14" spans="1:25" s="13" customFormat="1" ht="15.6" x14ac:dyDescent="0.3">
      <c r="A14" s="10" t="s">
        <v>35</v>
      </c>
      <c r="B14" s="14">
        <f>January!E42</f>
        <v>730</v>
      </c>
      <c r="C14" s="15">
        <f>JUNE!N11</f>
        <v>0</v>
      </c>
      <c r="D14" s="14">
        <f>FEB!E41</f>
        <v>1050</v>
      </c>
      <c r="E14" s="14">
        <f>FEB!M11</f>
        <v>0</v>
      </c>
      <c r="F14" s="29">
        <f>'MARCH 25'!E47</f>
        <v>860</v>
      </c>
      <c r="G14" s="11">
        <f>E30</f>
        <v>0</v>
      </c>
      <c r="H14" s="29">
        <f>'April 25'!E38</f>
        <v>550</v>
      </c>
      <c r="I14" s="166">
        <v>0</v>
      </c>
      <c r="J14" s="29">
        <f>'May25'!E46</f>
        <v>1067</v>
      </c>
      <c r="K14" s="166">
        <f>'May25'!N11</f>
        <v>0</v>
      </c>
      <c r="L14" s="29">
        <f>june25!E50</f>
        <v>1020</v>
      </c>
      <c r="M14" s="173">
        <v>0</v>
      </c>
      <c r="N14" s="168">
        <f>'july 25'!E44</f>
        <v>708</v>
      </c>
      <c r="O14" s="173">
        <v>0</v>
      </c>
      <c r="P14" s="168">
        <f>August25!E36</f>
        <v>650</v>
      </c>
      <c r="Q14" s="173">
        <v>0</v>
      </c>
      <c r="R14" s="168">
        <f>Sept!E44</f>
        <v>750</v>
      </c>
      <c r="S14" s="173">
        <f>Sept!N11</f>
        <v>0</v>
      </c>
      <c r="T14" s="168">
        <f>October25!E67</f>
        <v>1470</v>
      </c>
      <c r="U14" s="173">
        <v>0</v>
      </c>
      <c r="V14" s="168">
        <f>'NOV 25'!E31</f>
        <v>550</v>
      </c>
      <c r="W14" s="173">
        <v>0</v>
      </c>
      <c r="X14" s="12">
        <f>'LANDLORD ACC DETAILED VIEW-LEVY'!G43</f>
        <v>1245.52</v>
      </c>
      <c r="Y14" s="181">
        <v>0</v>
      </c>
    </row>
    <row r="15" spans="1:25" s="13" customFormat="1" ht="16.2" thickBot="1" x14ac:dyDescent="0.35">
      <c r="A15" s="10"/>
      <c r="B15" s="16"/>
      <c r="C15" s="70"/>
      <c r="D15" s="24"/>
      <c r="E15" s="24"/>
      <c r="F15" s="29"/>
      <c r="G15" s="29"/>
      <c r="H15" s="29"/>
      <c r="I15" s="29"/>
      <c r="J15" s="29"/>
      <c r="K15" s="29"/>
      <c r="L15" s="29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0"/>
    </row>
    <row r="16" spans="1:25" s="20" customFormat="1" ht="16.2" thickBot="1" x14ac:dyDescent="0.35">
      <c r="A16" s="17" t="s">
        <v>3</v>
      </c>
      <c r="B16" s="18">
        <f t="shared" ref="B16:Y16" si="1">SUM(B13:B15)</f>
        <v>745</v>
      </c>
      <c r="C16" s="19">
        <f t="shared" si="1"/>
        <v>0</v>
      </c>
      <c r="D16" s="18">
        <f>SUM(D13:D15)</f>
        <v>1055.317</v>
      </c>
      <c r="E16" s="19">
        <f t="shared" si="1"/>
        <v>0</v>
      </c>
      <c r="F16" s="18">
        <f>SUM(F13:F15)</f>
        <v>1064.712</v>
      </c>
      <c r="G16" s="19">
        <f t="shared" si="1"/>
        <v>0</v>
      </c>
      <c r="H16" s="18">
        <f>SUM(H13:H15)</f>
        <v>1026.626</v>
      </c>
      <c r="I16" s="19">
        <f t="shared" si="1"/>
        <v>0</v>
      </c>
      <c r="J16" s="19">
        <f t="shared" si="1"/>
        <v>565.07099999999991</v>
      </c>
      <c r="K16" s="19">
        <f t="shared" si="1"/>
        <v>0</v>
      </c>
      <c r="L16" s="19">
        <f t="shared" si="1"/>
        <v>763.91429999999991</v>
      </c>
      <c r="M16" s="19">
        <f t="shared" si="1"/>
        <v>0</v>
      </c>
      <c r="N16" s="19">
        <f t="shared" si="1"/>
        <v>417.81229999999982</v>
      </c>
      <c r="O16" s="19">
        <f t="shared" si="1"/>
        <v>0</v>
      </c>
      <c r="P16" s="19">
        <f t="shared" si="1"/>
        <v>288.54149999999981</v>
      </c>
      <c r="Q16" s="19">
        <f t="shared" si="1"/>
        <v>0</v>
      </c>
      <c r="R16" s="19">
        <f t="shared" si="1"/>
        <v>398.97649999999976</v>
      </c>
      <c r="S16" s="19">
        <f t="shared" si="1"/>
        <v>0</v>
      </c>
      <c r="T16" s="19">
        <f t="shared" si="1"/>
        <v>1113.4014999999997</v>
      </c>
      <c r="U16" s="19">
        <f t="shared" si="1"/>
        <v>0</v>
      </c>
      <c r="V16" s="19">
        <f t="shared" si="1"/>
        <v>599.05449999999973</v>
      </c>
      <c r="W16" s="19">
        <f t="shared" si="1"/>
        <v>0</v>
      </c>
      <c r="X16" s="19">
        <f t="shared" si="1"/>
        <v>909.01949999999965</v>
      </c>
      <c r="Y16" s="19">
        <f t="shared" si="1"/>
        <v>0</v>
      </c>
    </row>
    <row r="17" spans="1:25" ht="15.6" x14ac:dyDescent="0.3">
      <c r="A17" s="21"/>
      <c r="B17" s="22"/>
      <c r="C17" s="26"/>
      <c r="D17" s="24"/>
      <c r="E17" s="24"/>
      <c r="F17" s="29"/>
      <c r="G17" s="3"/>
      <c r="H17" s="29"/>
      <c r="I17" s="29"/>
      <c r="J17" s="29"/>
      <c r="K17" s="29"/>
      <c r="L17" s="29"/>
      <c r="M17" s="168"/>
      <c r="N17" s="168"/>
      <c r="O17" s="168"/>
      <c r="P17" s="168"/>
      <c r="Q17" s="168"/>
      <c r="R17" s="168"/>
      <c r="S17" s="168"/>
      <c r="T17" s="168"/>
      <c r="U17" s="168"/>
      <c r="V17" s="173"/>
      <c r="W17" s="168"/>
      <c r="X17" s="168"/>
      <c r="Y17" s="158"/>
    </row>
    <row r="18" spans="1:25" s="9" customFormat="1" ht="18" x14ac:dyDescent="0.35">
      <c r="A18" s="23" t="s">
        <v>4</v>
      </c>
      <c r="B18" s="24"/>
      <c r="C18" s="71"/>
      <c r="D18" s="24"/>
      <c r="E18" s="24"/>
      <c r="F18" s="29"/>
      <c r="G18" s="163"/>
      <c r="H18" s="29"/>
      <c r="I18" s="29"/>
      <c r="J18" s="29"/>
      <c r="K18" s="29"/>
      <c r="L18" s="29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59"/>
    </row>
    <row r="19" spans="1:25" s="9" customFormat="1" ht="15.75" customHeight="1" x14ac:dyDescent="0.35">
      <c r="A19" s="10" t="s">
        <v>34</v>
      </c>
      <c r="B19" s="11">
        <f>50+80</f>
        <v>130</v>
      </c>
      <c r="C19" s="12">
        <v>0</v>
      </c>
      <c r="D19" s="11">
        <v>0</v>
      </c>
      <c r="E19" s="11">
        <v>0</v>
      </c>
      <c r="F19" s="29">
        <f>30+140+276</f>
        <v>446</v>
      </c>
      <c r="G19" s="167">
        <v>0</v>
      </c>
      <c r="H19" s="29">
        <v>275</v>
      </c>
      <c r="I19" s="166">
        <v>0</v>
      </c>
      <c r="J19" s="29">
        <f>45+15+58</f>
        <v>118</v>
      </c>
      <c r="K19" s="166">
        <v>0</v>
      </c>
      <c r="L19" s="29">
        <f>58+20</f>
        <v>78</v>
      </c>
      <c r="M19" s="173">
        <v>0</v>
      </c>
      <c r="N19" s="168">
        <f>63+67</f>
        <v>130</v>
      </c>
      <c r="O19" s="173">
        <v>0</v>
      </c>
      <c r="P19" s="173">
        <v>0</v>
      </c>
      <c r="Q19" s="173">
        <v>0</v>
      </c>
      <c r="R19" s="173">
        <v>0</v>
      </c>
      <c r="S19" s="173">
        <v>0</v>
      </c>
      <c r="T19" s="168">
        <f>138+20</f>
        <v>158</v>
      </c>
      <c r="U19" s="173">
        <v>0</v>
      </c>
      <c r="V19" s="168">
        <v>60</v>
      </c>
      <c r="W19" s="173">
        <v>0</v>
      </c>
      <c r="X19" s="173">
        <v>0</v>
      </c>
      <c r="Y19" s="182">
        <v>0</v>
      </c>
    </row>
    <row r="20" spans="1:25" s="9" customFormat="1" ht="15.75" customHeight="1" x14ac:dyDescent="0.35">
      <c r="A20" s="10" t="s">
        <v>180</v>
      </c>
      <c r="B20" s="11">
        <v>0</v>
      </c>
      <c r="C20" s="12">
        <v>0</v>
      </c>
      <c r="D20" s="11">
        <v>150</v>
      </c>
      <c r="E20" s="11">
        <v>0</v>
      </c>
      <c r="F20" s="29"/>
      <c r="G20" s="167">
        <v>0</v>
      </c>
      <c r="H20" s="29"/>
      <c r="I20" s="166">
        <v>0</v>
      </c>
      <c r="J20" s="29"/>
      <c r="K20" s="166">
        <v>0</v>
      </c>
      <c r="L20" s="29">
        <v>200</v>
      </c>
      <c r="M20" s="173">
        <v>0</v>
      </c>
      <c r="N20" s="173">
        <v>0</v>
      </c>
      <c r="O20" s="173">
        <v>0</v>
      </c>
      <c r="P20" s="173">
        <v>0</v>
      </c>
      <c r="Q20" s="173">
        <v>0</v>
      </c>
      <c r="R20" s="168">
        <v>10</v>
      </c>
      <c r="S20" s="173">
        <v>0</v>
      </c>
      <c r="T20" s="173">
        <v>0</v>
      </c>
      <c r="U20" s="173">
        <v>0</v>
      </c>
      <c r="V20" s="168">
        <v>200</v>
      </c>
      <c r="W20" s="173">
        <v>0</v>
      </c>
      <c r="X20" s="173">
        <v>0</v>
      </c>
      <c r="Y20" s="182">
        <v>0</v>
      </c>
    </row>
    <row r="21" spans="1:25" s="9" customFormat="1" ht="15.75" customHeight="1" x14ac:dyDescent="0.35">
      <c r="A21" s="10" t="s">
        <v>129</v>
      </c>
      <c r="B21" s="11">
        <v>10</v>
      </c>
      <c r="C21" s="12">
        <v>0</v>
      </c>
      <c r="D21" s="11">
        <v>0</v>
      </c>
      <c r="E21" s="11">
        <v>0</v>
      </c>
      <c r="F21" s="29">
        <v>13</v>
      </c>
      <c r="G21" s="167">
        <v>0</v>
      </c>
      <c r="H21" s="29">
        <v>5</v>
      </c>
      <c r="I21" s="166">
        <v>0</v>
      </c>
      <c r="J21" s="29"/>
      <c r="K21" s="166">
        <v>0</v>
      </c>
      <c r="L21" s="29"/>
      <c r="M21" s="173">
        <v>0</v>
      </c>
      <c r="N21" s="173">
        <v>0</v>
      </c>
      <c r="O21" s="173">
        <v>0</v>
      </c>
      <c r="P21" s="177">
        <v>0</v>
      </c>
      <c r="Q21" s="173">
        <v>0</v>
      </c>
      <c r="R21" s="173">
        <v>0</v>
      </c>
      <c r="S21" s="173">
        <v>0</v>
      </c>
      <c r="T21" s="168">
        <v>2.7</v>
      </c>
      <c r="U21" s="173">
        <v>0</v>
      </c>
      <c r="V21" s="173">
        <v>0</v>
      </c>
      <c r="W21" s="173">
        <v>0</v>
      </c>
      <c r="X21" s="183">
        <v>95.5</v>
      </c>
      <c r="Y21" s="182">
        <v>0</v>
      </c>
    </row>
    <row r="22" spans="1:25" s="9" customFormat="1" ht="15.75" customHeight="1" x14ac:dyDescent="0.35">
      <c r="A22" s="10" t="s">
        <v>36</v>
      </c>
      <c r="B22" s="11">
        <f>456+34.11</f>
        <v>490.11</v>
      </c>
      <c r="C22" s="12">
        <v>0</v>
      </c>
      <c r="D22" s="11">
        <v>543</v>
      </c>
      <c r="E22" s="11">
        <v>0</v>
      </c>
      <c r="F22" s="29"/>
      <c r="G22" s="167">
        <v>0</v>
      </c>
      <c r="H22" s="29">
        <f>543+543</f>
        <v>1086</v>
      </c>
      <c r="I22" s="166">
        <v>0</v>
      </c>
      <c r="J22" s="29">
        <v>543</v>
      </c>
      <c r="K22" s="166">
        <v>0</v>
      </c>
      <c r="L22" s="29">
        <v>543</v>
      </c>
      <c r="M22" s="173">
        <v>0</v>
      </c>
      <c r="N22" s="168">
        <v>543</v>
      </c>
      <c r="O22" s="173">
        <v>0</v>
      </c>
      <c r="P22" s="173">
        <v>0</v>
      </c>
      <c r="Q22" s="173">
        <v>0</v>
      </c>
      <c r="R22" s="168">
        <v>543</v>
      </c>
      <c r="S22" s="173">
        <v>0</v>
      </c>
      <c r="T22" s="168">
        <v>543</v>
      </c>
      <c r="U22" s="173">
        <v>0</v>
      </c>
      <c r="V22" s="168">
        <v>543</v>
      </c>
      <c r="W22" s="173">
        <v>0</v>
      </c>
      <c r="X22" s="168">
        <v>543</v>
      </c>
      <c r="Y22" s="182">
        <v>0</v>
      </c>
    </row>
    <row r="23" spans="1:25" s="9" customFormat="1" ht="15.75" customHeight="1" x14ac:dyDescent="0.35">
      <c r="A23" s="10" t="s">
        <v>319</v>
      </c>
      <c r="B23" s="11"/>
      <c r="C23" s="12"/>
      <c r="D23" s="11"/>
      <c r="E23" s="11"/>
      <c r="F23" s="29"/>
      <c r="G23" s="167"/>
      <c r="H23" s="29"/>
      <c r="I23" s="166"/>
      <c r="J23" s="29"/>
      <c r="K23" s="166"/>
      <c r="L23" s="29"/>
      <c r="M23" s="173"/>
      <c r="N23" s="168"/>
      <c r="O23" s="173"/>
      <c r="P23" s="173"/>
      <c r="Q23" s="173"/>
      <c r="R23" s="168">
        <v>90</v>
      </c>
      <c r="S23" s="173">
        <v>0</v>
      </c>
      <c r="T23" s="173">
        <v>0</v>
      </c>
      <c r="U23" s="173">
        <v>0</v>
      </c>
      <c r="V23" s="173">
        <v>0</v>
      </c>
      <c r="W23" s="173">
        <v>0</v>
      </c>
      <c r="X23" s="173">
        <v>0</v>
      </c>
      <c r="Y23" s="182">
        <v>0</v>
      </c>
    </row>
    <row r="24" spans="1:25" s="9" customFormat="1" ht="15.75" customHeight="1" x14ac:dyDescent="0.35">
      <c r="A24" s="10" t="s">
        <v>379</v>
      </c>
      <c r="B24" s="11"/>
      <c r="C24" s="12"/>
      <c r="D24" s="11"/>
      <c r="E24" s="11"/>
      <c r="F24" s="29"/>
      <c r="G24" s="167">
        <v>0</v>
      </c>
      <c r="H24" s="29">
        <v>80</v>
      </c>
      <c r="I24" s="166">
        <v>0</v>
      </c>
      <c r="J24" s="29"/>
      <c r="K24" s="166">
        <v>0</v>
      </c>
      <c r="L24" s="29">
        <v>80</v>
      </c>
      <c r="M24" s="173">
        <v>0</v>
      </c>
      <c r="N24" s="173">
        <v>0</v>
      </c>
      <c r="O24" s="173">
        <v>0</v>
      </c>
      <c r="P24" s="168">
        <v>542</v>
      </c>
      <c r="Q24" s="173">
        <v>0</v>
      </c>
      <c r="R24" s="173">
        <v>0</v>
      </c>
      <c r="S24" s="173">
        <v>0</v>
      </c>
      <c r="T24" s="168">
        <f>50+90</f>
        <v>140</v>
      </c>
      <c r="U24" s="173">
        <v>0</v>
      </c>
      <c r="V24" s="168">
        <v>50</v>
      </c>
      <c r="W24" s="173">
        <v>0</v>
      </c>
      <c r="X24" s="173">
        <v>0</v>
      </c>
      <c r="Y24" s="182">
        <v>0</v>
      </c>
    </row>
    <row r="25" spans="1:25" s="13" customFormat="1" ht="15.75" customHeight="1" x14ac:dyDescent="0.3">
      <c r="A25" s="10" t="s">
        <v>5</v>
      </c>
      <c r="B25" s="11">
        <f t="shared" ref="B25:Y25" si="2">0.1501*B14</f>
        <v>109.57300000000001</v>
      </c>
      <c r="C25" s="11">
        <f t="shared" si="2"/>
        <v>0</v>
      </c>
      <c r="D25" s="11">
        <f t="shared" si="2"/>
        <v>157.60500000000002</v>
      </c>
      <c r="E25" s="11">
        <f t="shared" si="2"/>
        <v>0</v>
      </c>
      <c r="F25" s="11">
        <f t="shared" si="2"/>
        <v>129.08600000000001</v>
      </c>
      <c r="G25" s="11">
        <f t="shared" si="2"/>
        <v>0</v>
      </c>
      <c r="H25" s="11">
        <f t="shared" si="2"/>
        <v>82.555000000000007</v>
      </c>
      <c r="I25" s="166">
        <v>0</v>
      </c>
      <c r="J25" s="11">
        <f t="shared" si="2"/>
        <v>160.1567</v>
      </c>
      <c r="K25" s="11">
        <f t="shared" si="2"/>
        <v>0</v>
      </c>
      <c r="L25" s="11">
        <f t="shared" si="2"/>
        <v>153.102</v>
      </c>
      <c r="M25" s="11">
        <f t="shared" si="2"/>
        <v>0</v>
      </c>
      <c r="N25" s="11">
        <f t="shared" si="2"/>
        <v>106.27080000000001</v>
      </c>
      <c r="O25" s="11">
        <f t="shared" si="2"/>
        <v>0</v>
      </c>
      <c r="P25" s="11">
        <f t="shared" si="2"/>
        <v>97.565000000000012</v>
      </c>
      <c r="Q25" s="11">
        <f t="shared" si="2"/>
        <v>0</v>
      </c>
      <c r="R25" s="11">
        <f t="shared" si="2"/>
        <v>112.575</v>
      </c>
      <c r="S25" s="11">
        <f t="shared" si="2"/>
        <v>0</v>
      </c>
      <c r="T25" s="11">
        <f t="shared" si="2"/>
        <v>220.64700000000002</v>
      </c>
      <c r="U25" s="11">
        <f t="shared" si="2"/>
        <v>0</v>
      </c>
      <c r="V25" s="11">
        <f t="shared" si="2"/>
        <v>82.555000000000007</v>
      </c>
      <c r="W25" s="11">
        <f t="shared" si="2"/>
        <v>0</v>
      </c>
      <c r="X25" s="11">
        <f t="shared" si="2"/>
        <v>186.952552</v>
      </c>
      <c r="Y25" s="11">
        <f t="shared" si="2"/>
        <v>0</v>
      </c>
    </row>
    <row r="26" spans="1:25" s="13" customFormat="1" ht="15.75" customHeight="1" thickBot="1" x14ac:dyDescent="0.35">
      <c r="A26" s="10"/>
      <c r="B26" s="16"/>
      <c r="C26" s="70"/>
      <c r="D26" s="16"/>
      <c r="E26" s="16"/>
      <c r="F26" s="97"/>
      <c r="G26" s="97"/>
      <c r="H26" s="97"/>
      <c r="I26" s="97"/>
      <c r="J26" s="97"/>
      <c r="K26" s="97"/>
      <c r="L26" s="97"/>
      <c r="M26" s="97"/>
      <c r="N26" s="175"/>
      <c r="O26" s="97"/>
      <c r="P26" s="175"/>
      <c r="Q26" s="97"/>
      <c r="R26" s="175"/>
      <c r="S26" s="97"/>
      <c r="T26" s="175"/>
      <c r="U26" s="97"/>
      <c r="V26" s="97"/>
      <c r="W26" s="97"/>
      <c r="X26" s="175"/>
      <c r="Y26" s="180"/>
    </row>
    <row r="27" spans="1:25" s="13" customFormat="1" ht="15.75" customHeight="1" x14ac:dyDescent="0.3">
      <c r="A27" s="25" t="s">
        <v>6</v>
      </c>
      <c r="B27" s="22">
        <f t="shared" ref="B27:W27" si="3">SUM(B19:B26)</f>
        <v>739.68299999999999</v>
      </c>
      <c r="C27" s="26">
        <f t="shared" si="3"/>
        <v>0</v>
      </c>
      <c r="D27" s="22">
        <f t="shared" si="3"/>
        <v>850.60500000000002</v>
      </c>
      <c r="E27" s="26">
        <f t="shared" si="3"/>
        <v>0</v>
      </c>
      <c r="F27" s="22">
        <f t="shared" si="3"/>
        <v>588.08600000000001</v>
      </c>
      <c r="G27" s="26">
        <f t="shared" si="3"/>
        <v>0</v>
      </c>
      <c r="H27" s="22">
        <f t="shared" si="3"/>
        <v>1528.5550000000001</v>
      </c>
      <c r="I27" s="26">
        <f t="shared" si="3"/>
        <v>0</v>
      </c>
      <c r="J27" s="26">
        <f t="shared" si="3"/>
        <v>821.1567</v>
      </c>
      <c r="K27" s="26">
        <f t="shared" si="3"/>
        <v>0</v>
      </c>
      <c r="L27" s="26">
        <f t="shared" si="3"/>
        <v>1054.1020000000001</v>
      </c>
      <c r="M27" s="26">
        <f t="shared" si="3"/>
        <v>0</v>
      </c>
      <c r="N27" s="26">
        <f t="shared" si="3"/>
        <v>779.27080000000001</v>
      </c>
      <c r="O27" s="26">
        <f t="shared" si="3"/>
        <v>0</v>
      </c>
      <c r="P27" s="26">
        <f t="shared" si="3"/>
        <v>639.56500000000005</v>
      </c>
      <c r="Q27" s="26">
        <f t="shared" si="3"/>
        <v>0</v>
      </c>
      <c r="R27" s="26">
        <f t="shared" si="3"/>
        <v>755.57500000000005</v>
      </c>
      <c r="S27" s="26">
        <f t="shared" si="3"/>
        <v>0</v>
      </c>
      <c r="T27" s="26">
        <f t="shared" si="3"/>
        <v>1064.347</v>
      </c>
      <c r="U27" s="26">
        <f t="shared" si="3"/>
        <v>0</v>
      </c>
      <c r="V27" s="26">
        <f t="shared" si="3"/>
        <v>935.55500000000006</v>
      </c>
      <c r="W27" s="26">
        <f t="shared" si="3"/>
        <v>0</v>
      </c>
      <c r="X27" s="26">
        <f t="shared" ref="X27:Y27" si="4">SUM(X19:X26)</f>
        <v>825.45255199999997</v>
      </c>
      <c r="Y27" s="26">
        <f t="shared" si="4"/>
        <v>0</v>
      </c>
    </row>
    <row r="28" spans="1:25" s="13" customFormat="1" ht="15.75" customHeight="1" x14ac:dyDescent="0.3">
      <c r="A28" s="27"/>
      <c r="B28" s="24"/>
      <c r="C28" s="71"/>
      <c r="D28" s="24"/>
      <c r="E28" s="24"/>
      <c r="F28" s="29"/>
      <c r="G28" s="29"/>
      <c r="H28" s="29"/>
      <c r="I28" s="29"/>
      <c r="J28" s="29"/>
      <c r="K28" s="29"/>
      <c r="L28" s="29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</row>
    <row r="29" spans="1:25" s="13" customFormat="1" ht="15.75" customHeight="1" thickBot="1" x14ac:dyDescent="0.35">
      <c r="A29" s="28" t="s">
        <v>7</v>
      </c>
      <c r="B29" s="154">
        <f t="shared" ref="B29:Y29" si="5">B16-B27</f>
        <v>5.3170000000000073</v>
      </c>
      <c r="C29" s="155">
        <f t="shared" si="5"/>
        <v>0</v>
      </c>
      <c r="D29" s="154">
        <f t="shared" si="5"/>
        <v>204.71199999999999</v>
      </c>
      <c r="E29" s="155">
        <f t="shared" si="5"/>
        <v>0</v>
      </c>
      <c r="F29" s="154">
        <f t="shared" si="5"/>
        <v>476.62599999999998</v>
      </c>
      <c r="G29" s="155">
        <f t="shared" si="5"/>
        <v>0</v>
      </c>
      <c r="H29" s="154">
        <f t="shared" si="5"/>
        <v>-501.92900000000009</v>
      </c>
      <c r="I29" s="155">
        <f t="shared" si="5"/>
        <v>0</v>
      </c>
      <c r="J29" s="155">
        <f t="shared" si="5"/>
        <v>-256.08570000000009</v>
      </c>
      <c r="K29" s="155">
        <f t="shared" si="5"/>
        <v>0</v>
      </c>
      <c r="L29" s="155">
        <f t="shared" si="5"/>
        <v>-290.18770000000018</v>
      </c>
      <c r="M29" s="155">
        <f t="shared" si="5"/>
        <v>0</v>
      </c>
      <c r="N29" s="155">
        <f t="shared" si="5"/>
        <v>-361.45850000000019</v>
      </c>
      <c r="O29" s="155">
        <f t="shared" si="5"/>
        <v>0</v>
      </c>
      <c r="P29" s="155">
        <f t="shared" si="5"/>
        <v>-351.02350000000024</v>
      </c>
      <c r="Q29" s="155">
        <f t="shared" si="5"/>
        <v>0</v>
      </c>
      <c r="R29" s="155">
        <f t="shared" si="5"/>
        <v>-356.59850000000029</v>
      </c>
      <c r="S29" s="155">
        <f t="shared" si="5"/>
        <v>0</v>
      </c>
      <c r="T29" s="155">
        <f t="shared" si="5"/>
        <v>49.054499999999734</v>
      </c>
      <c r="U29" s="155">
        <f t="shared" si="5"/>
        <v>0</v>
      </c>
      <c r="V29" s="155">
        <f t="shared" si="5"/>
        <v>-336.50050000000033</v>
      </c>
      <c r="W29" s="155">
        <f t="shared" si="5"/>
        <v>0</v>
      </c>
      <c r="X29" s="155">
        <f t="shared" si="5"/>
        <v>83.566947999999684</v>
      </c>
      <c r="Y29" s="155">
        <f t="shared" si="5"/>
        <v>0</v>
      </c>
    </row>
    <row r="30" spans="1:25" ht="15.75" customHeight="1" x14ac:dyDescent="0.3">
      <c r="A30" s="91"/>
      <c r="B30" s="89"/>
      <c r="C30" s="90"/>
      <c r="D30" s="103"/>
      <c r="E30" s="103"/>
      <c r="F30" s="29"/>
      <c r="G30" s="3"/>
      <c r="H30" s="29"/>
      <c r="I30" s="29"/>
      <c r="J30" s="29"/>
      <c r="K30" s="29"/>
      <c r="L30" s="29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58"/>
    </row>
    <row r="31" spans="1:25" ht="15.75" customHeight="1" x14ac:dyDescent="0.3">
      <c r="A31" s="142" t="s">
        <v>357</v>
      </c>
      <c r="B31" s="74"/>
      <c r="C31" s="74"/>
      <c r="D31" s="92"/>
      <c r="E31" s="92"/>
      <c r="F31" s="29"/>
      <c r="G31" s="3"/>
      <c r="H31" s="29"/>
      <c r="I31" s="29"/>
      <c r="J31" s="29"/>
      <c r="K31" s="29"/>
      <c r="L31" s="29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58"/>
    </row>
    <row r="32" spans="1:25" ht="15.75" customHeight="1" x14ac:dyDescent="0.3">
      <c r="A32" s="143"/>
      <c r="B32" s="74"/>
      <c r="C32" s="74"/>
      <c r="D32" s="92"/>
      <c r="E32" s="92"/>
      <c r="F32" s="29"/>
      <c r="G32" s="3"/>
      <c r="H32" s="98"/>
      <c r="I32" s="98"/>
      <c r="J32" s="29"/>
      <c r="K32" s="29"/>
      <c r="L32" s="29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58"/>
    </row>
    <row r="33" spans="1:25" ht="15.75" customHeight="1" x14ac:dyDescent="0.3">
      <c r="A33" s="100" t="s">
        <v>0</v>
      </c>
      <c r="B33" s="144" t="s">
        <v>1</v>
      </c>
      <c r="C33" s="144" t="s">
        <v>38</v>
      </c>
      <c r="D33" s="92"/>
      <c r="E33" s="92"/>
      <c r="F33" s="102"/>
      <c r="G33" s="98"/>
      <c r="H33" s="98"/>
      <c r="I33" s="98"/>
      <c r="J33" s="98"/>
      <c r="K33" s="98"/>
      <c r="L33" s="98"/>
      <c r="M33" s="158"/>
      <c r="N33" s="158"/>
      <c r="O33" s="158"/>
      <c r="P33" s="158"/>
      <c r="Q33" s="158"/>
      <c r="R33" s="158"/>
      <c r="S33" s="158"/>
      <c r="T33" s="168"/>
      <c r="U33" s="158"/>
      <c r="V33" s="158"/>
      <c r="W33" s="158"/>
      <c r="X33" s="158"/>
      <c r="Y33" s="158"/>
    </row>
    <row r="34" spans="1:25" ht="15.75" customHeight="1" x14ac:dyDescent="0.3">
      <c r="A34" s="145" t="s">
        <v>2</v>
      </c>
      <c r="B34" s="96">
        <f>B13</f>
        <v>15</v>
      </c>
      <c r="C34" s="146">
        <f>C13</f>
        <v>0</v>
      </c>
      <c r="D34" s="92"/>
      <c r="E34" s="92"/>
      <c r="F34" s="102"/>
      <c r="G34" s="98"/>
      <c r="H34" s="98"/>
      <c r="I34" s="98"/>
      <c r="J34" s="98"/>
      <c r="K34" s="98"/>
      <c r="L34" s="98"/>
      <c r="M34" s="158"/>
      <c r="N34" s="158"/>
      <c r="O34" s="158"/>
      <c r="P34" s="158"/>
      <c r="Q34" s="158"/>
      <c r="R34" s="158"/>
      <c r="S34" s="158"/>
      <c r="T34" s="168"/>
      <c r="U34" s="158"/>
      <c r="V34" s="158"/>
      <c r="W34" s="158"/>
      <c r="X34" s="158"/>
      <c r="Y34" s="158"/>
    </row>
    <row r="35" spans="1:25" ht="15.75" customHeight="1" thickBot="1" x14ac:dyDescent="0.35">
      <c r="A35" s="145" t="s">
        <v>35</v>
      </c>
      <c r="B35" s="147">
        <f>B14+D14+F14+H14+J14+L14+N14+P14+R14+T14+V14+X14</f>
        <v>10650.52</v>
      </c>
      <c r="C35" s="148">
        <v>0</v>
      </c>
      <c r="D35" s="92"/>
      <c r="E35" s="92"/>
      <c r="F35" s="102"/>
      <c r="G35" s="98"/>
      <c r="H35" s="98"/>
      <c r="I35" s="98"/>
      <c r="J35" s="98"/>
      <c r="K35" s="98"/>
      <c r="L35" s="98"/>
      <c r="M35" s="158"/>
      <c r="N35" s="158"/>
      <c r="O35" s="158"/>
      <c r="P35" s="158"/>
      <c r="Q35" s="158"/>
      <c r="R35" s="158"/>
      <c r="S35" s="158"/>
      <c r="T35" s="168"/>
      <c r="U35" s="158"/>
      <c r="V35" s="158"/>
      <c r="W35" s="158"/>
      <c r="X35" s="158"/>
      <c r="Y35" s="158"/>
    </row>
    <row r="36" spans="1:25" ht="15.75" customHeight="1" x14ac:dyDescent="0.3">
      <c r="A36" s="30" t="s">
        <v>146</v>
      </c>
      <c r="B36" s="149">
        <f>SUM(B34:B35)</f>
        <v>10665.52</v>
      </c>
      <c r="C36" s="149">
        <f>SUM(C34:C35)</f>
        <v>0</v>
      </c>
      <c r="D36" s="92"/>
      <c r="E36" s="92"/>
      <c r="F36" s="102"/>
      <c r="G36" s="98"/>
      <c r="H36" s="98"/>
      <c r="I36" s="98"/>
      <c r="J36" s="98"/>
      <c r="K36" s="98"/>
      <c r="L36" s="98"/>
      <c r="M36" s="158"/>
      <c r="N36" s="158"/>
      <c r="O36" s="158"/>
      <c r="P36" s="158"/>
      <c r="Q36" s="158"/>
      <c r="R36" s="158"/>
      <c r="S36" s="158"/>
      <c r="T36" s="168"/>
      <c r="U36" s="158"/>
      <c r="V36" s="158"/>
      <c r="W36" s="158"/>
      <c r="X36" s="158"/>
      <c r="Y36" s="158"/>
    </row>
    <row r="37" spans="1:25" ht="15.75" customHeight="1" x14ac:dyDescent="0.3">
      <c r="A37" s="143"/>
      <c r="B37" s="74"/>
      <c r="C37" s="74"/>
      <c r="D37" s="92"/>
      <c r="E37" s="92"/>
      <c r="F37" s="102"/>
      <c r="G37" s="98"/>
      <c r="H37" s="98"/>
      <c r="I37" s="98"/>
      <c r="J37" s="98"/>
      <c r="K37" s="98"/>
      <c r="L37" s="98"/>
      <c r="M37" s="158"/>
      <c r="N37" s="158"/>
      <c r="O37" s="158"/>
      <c r="P37" s="158"/>
      <c r="Q37" s="158"/>
      <c r="R37" s="158"/>
      <c r="S37" s="158"/>
      <c r="T37" s="168"/>
      <c r="U37" s="158"/>
      <c r="V37" s="158"/>
      <c r="W37" s="158"/>
      <c r="X37" s="158"/>
      <c r="Y37" s="158"/>
    </row>
    <row r="38" spans="1:25" ht="15.75" customHeight="1" x14ac:dyDescent="0.3">
      <c r="A38" s="150" t="s">
        <v>147</v>
      </c>
      <c r="B38" s="74"/>
      <c r="C38" s="74"/>
      <c r="D38" s="92"/>
      <c r="E38" s="92"/>
      <c r="F38" s="102"/>
      <c r="G38" s="98"/>
      <c r="H38" s="98"/>
      <c r="I38" s="98"/>
      <c r="J38" s="98"/>
      <c r="K38" s="98"/>
      <c r="L38" s="98"/>
      <c r="M38" s="158"/>
      <c r="N38" s="158"/>
      <c r="O38" s="158"/>
      <c r="P38" s="158"/>
      <c r="Q38" s="158"/>
      <c r="R38" s="158"/>
      <c r="S38" s="158"/>
      <c r="T38" s="168"/>
      <c r="U38" s="158"/>
      <c r="V38" s="158"/>
      <c r="W38" s="158"/>
      <c r="X38" s="158"/>
      <c r="Y38" s="158"/>
    </row>
    <row r="39" spans="1:25" ht="15.75" customHeight="1" x14ac:dyDescent="0.3">
      <c r="A39" s="10" t="s">
        <v>34</v>
      </c>
      <c r="B39" s="151">
        <f>B19+D19+F19+H19+J19+L19+N19+P19+R19+T19+V19+X19</f>
        <v>1395</v>
      </c>
      <c r="C39" s="151">
        <v>0</v>
      </c>
      <c r="D39" s="92"/>
      <c r="E39" s="92"/>
      <c r="F39" s="102"/>
      <c r="G39" s="98"/>
      <c r="H39" s="98"/>
      <c r="I39" s="98"/>
      <c r="J39" s="98"/>
      <c r="K39" s="98"/>
      <c r="L39" s="98"/>
      <c r="M39" s="158"/>
      <c r="N39" s="158"/>
      <c r="O39" s="158"/>
      <c r="P39" s="158"/>
      <c r="Q39" s="158"/>
      <c r="R39" s="158"/>
      <c r="S39" s="158"/>
      <c r="T39" s="168"/>
      <c r="U39" s="158"/>
      <c r="V39" s="158"/>
      <c r="W39" s="158"/>
      <c r="X39" s="158"/>
      <c r="Y39" s="158"/>
    </row>
    <row r="40" spans="1:25" ht="15.75" customHeight="1" x14ac:dyDescent="0.3">
      <c r="A40" s="10" t="s">
        <v>180</v>
      </c>
      <c r="B40" s="151">
        <f t="shared" ref="B40:B45" si="6">B20+D20+F20+H20+J20+L20+N20+P20+R20+T20+V20+X20</f>
        <v>560</v>
      </c>
      <c r="C40" s="151">
        <v>0</v>
      </c>
      <c r="D40" s="92"/>
      <c r="E40" s="92"/>
      <c r="F40" s="102"/>
      <c r="G40" s="98"/>
      <c r="H40" s="98"/>
      <c r="I40" s="98"/>
      <c r="J40" s="98"/>
      <c r="K40" s="98"/>
      <c r="L40" s="98"/>
      <c r="M40" s="158"/>
      <c r="N40" s="158"/>
      <c r="O40" s="158"/>
      <c r="P40" s="158"/>
      <c r="Q40" s="158"/>
      <c r="R40" s="158"/>
      <c r="S40" s="158"/>
      <c r="T40" s="168"/>
      <c r="U40" s="158"/>
      <c r="V40" s="158"/>
      <c r="W40" s="158"/>
      <c r="X40" s="158"/>
      <c r="Y40" s="158"/>
    </row>
    <row r="41" spans="1:25" ht="15.75" customHeight="1" x14ac:dyDescent="0.3">
      <c r="A41" s="10" t="s">
        <v>129</v>
      </c>
      <c r="B41" s="151">
        <f t="shared" si="6"/>
        <v>126.2</v>
      </c>
      <c r="C41" s="151"/>
      <c r="D41" s="92"/>
      <c r="E41" s="92"/>
      <c r="F41" s="102"/>
      <c r="G41" s="98"/>
      <c r="H41" s="98"/>
      <c r="I41" s="98"/>
      <c r="J41" s="98"/>
      <c r="K41" s="98"/>
      <c r="L41" s="98"/>
      <c r="M41" s="158"/>
      <c r="N41" s="158"/>
      <c r="O41" s="158"/>
      <c r="P41" s="158"/>
      <c r="Q41" s="158"/>
      <c r="R41" s="158"/>
      <c r="S41" s="158"/>
      <c r="T41" s="168"/>
      <c r="U41" s="158"/>
      <c r="V41" s="158"/>
      <c r="W41" s="158"/>
      <c r="X41" s="158"/>
      <c r="Y41" s="158"/>
    </row>
    <row r="42" spans="1:25" ht="15.75" customHeight="1" x14ac:dyDescent="0.3">
      <c r="A42" s="10" t="s">
        <v>36</v>
      </c>
      <c r="B42" s="151">
        <f t="shared" si="6"/>
        <v>5920.1100000000006</v>
      </c>
      <c r="C42" s="151">
        <v>0</v>
      </c>
      <c r="D42" s="92"/>
      <c r="E42" s="92"/>
      <c r="F42" s="102"/>
      <c r="G42" s="98"/>
      <c r="H42" s="98"/>
      <c r="I42" s="98"/>
      <c r="J42" s="98"/>
      <c r="K42" s="98"/>
      <c r="L42" s="98"/>
      <c r="M42" s="158"/>
      <c r="N42" s="158"/>
      <c r="O42" s="158"/>
      <c r="P42" s="158"/>
      <c r="Q42" s="158"/>
      <c r="R42" s="158"/>
      <c r="S42" s="158"/>
      <c r="T42" s="168"/>
      <c r="U42" s="158"/>
      <c r="V42" s="158"/>
      <c r="W42" s="158"/>
      <c r="X42" s="158"/>
      <c r="Y42" s="158"/>
    </row>
    <row r="43" spans="1:25" ht="15.75" customHeight="1" x14ac:dyDescent="0.3">
      <c r="A43" s="10" t="s">
        <v>319</v>
      </c>
      <c r="B43" s="151">
        <f t="shared" si="6"/>
        <v>90</v>
      </c>
      <c r="C43" s="164"/>
      <c r="D43" s="92"/>
      <c r="E43" s="92"/>
      <c r="F43" s="102"/>
      <c r="G43" s="98"/>
      <c r="H43" s="98"/>
      <c r="I43" s="98"/>
      <c r="J43" s="98"/>
      <c r="K43" s="98"/>
      <c r="L43" s="98"/>
      <c r="M43" s="158"/>
      <c r="N43" s="158"/>
      <c r="O43" s="158"/>
      <c r="P43" s="158"/>
      <c r="Q43" s="158"/>
      <c r="R43" s="158"/>
      <c r="S43" s="158"/>
      <c r="T43" s="168"/>
      <c r="U43" s="158"/>
      <c r="V43" s="158"/>
      <c r="W43" s="158"/>
      <c r="X43" s="158"/>
      <c r="Y43" s="158"/>
    </row>
    <row r="44" spans="1:25" ht="15.75" customHeight="1" x14ac:dyDescent="0.3">
      <c r="A44" s="10" t="s">
        <v>212</v>
      </c>
      <c r="B44" s="151">
        <f t="shared" si="6"/>
        <v>892</v>
      </c>
      <c r="C44" s="164"/>
      <c r="D44" s="92"/>
      <c r="E44" s="92"/>
      <c r="F44" s="102"/>
      <c r="G44" s="98"/>
      <c r="H44" s="98"/>
      <c r="I44" s="98"/>
      <c r="J44" s="98"/>
      <c r="K44" s="98"/>
      <c r="L44" s="9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</row>
    <row r="45" spans="1:25" ht="15.75" customHeight="1" thickBot="1" x14ac:dyDescent="0.35">
      <c r="A45" s="10" t="s">
        <v>5</v>
      </c>
      <c r="B45" s="152">
        <f t="shared" si="6"/>
        <v>1598.6430519999999</v>
      </c>
      <c r="C45" s="152">
        <v>0</v>
      </c>
      <c r="D45" s="92"/>
      <c r="E45" s="92"/>
      <c r="F45" s="102"/>
      <c r="G45" s="98"/>
      <c r="H45" s="98"/>
      <c r="I45" s="98"/>
      <c r="J45" s="98"/>
      <c r="K45" s="98"/>
      <c r="L45" s="9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</row>
    <row r="46" spans="1:25" ht="15.75" customHeight="1" x14ac:dyDescent="0.3">
      <c r="A46" s="143"/>
      <c r="B46" s="153">
        <f>SUM(B39:B45)</f>
        <v>10581.953052000001</v>
      </c>
      <c r="C46" s="153">
        <f>SUM(C38:C45)</f>
        <v>0</v>
      </c>
      <c r="D46" s="92"/>
      <c r="E46" s="92"/>
      <c r="F46" s="102"/>
      <c r="G46" s="98"/>
      <c r="H46" s="98"/>
      <c r="I46" s="98"/>
      <c r="J46" s="98"/>
      <c r="K46" s="98"/>
      <c r="L46" s="9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</row>
    <row r="47" spans="1:25" ht="15.75" customHeight="1" x14ac:dyDescent="0.3">
      <c r="A47" s="13"/>
      <c r="B47" s="73"/>
      <c r="C47" s="73"/>
      <c r="D47" s="92"/>
      <c r="E47" s="92"/>
      <c r="F47" s="102"/>
      <c r="G47" s="98"/>
      <c r="H47" s="98"/>
      <c r="I47" s="98"/>
      <c r="J47" s="98"/>
      <c r="K47" s="98"/>
      <c r="L47" s="9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25" ht="15.75" customHeight="1" thickBot="1" x14ac:dyDescent="0.35">
      <c r="A48" s="143" t="s">
        <v>148</v>
      </c>
      <c r="B48" s="154">
        <f>B36-B46</f>
        <v>83.566947999999684</v>
      </c>
      <c r="C48" s="154">
        <f>C36-C46</f>
        <v>0</v>
      </c>
      <c r="D48" s="92"/>
      <c r="E48" s="92"/>
      <c r="F48" s="102"/>
      <c r="G48" s="98"/>
      <c r="H48" s="98"/>
      <c r="I48" s="98"/>
      <c r="J48" s="98"/>
      <c r="K48" s="98"/>
      <c r="L48" s="9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15.75" customHeight="1" x14ac:dyDescent="0.3">
      <c r="A49" s="140"/>
      <c r="B49" s="141"/>
      <c r="C49" s="90"/>
      <c r="D49" s="92"/>
      <c r="E49" s="92"/>
      <c r="F49" s="102"/>
      <c r="G49" s="98"/>
      <c r="H49" s="98"/>
      <c r="I49" s="98"/>
      <c r="J49" s="98"/>
      <c r="K49" s="98"/>
      <c r="L49" s="9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</row>
    <row r="50" spans="1:25" ht="15.75" customHeight="1" x14ac:dyDescent="0.3">
      <c r="A50" s="198"/>
      <c r="B50" s="199"/>
      <c r="C50" s="90"/>
      <c r="D50" s="92"/>
      <c r="E50" s="92"/>
      <c r="F50" s="98"/>
      <c r="G50" s="98"/>
      <c r="H50" s="98"/>
      <c r="I50" s="98"/>
      <c r="J50" s="98"/>
      <c r="K50" s="98"/>
      <c r="L50" s="9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</row>
    <row r="51" spans="1:25" ht="15.75" customHeight="1" thickBot="1" x14ac:dyDescent="0.35">
      <c r="A51" s="35"/>
      <c r="B51" s="34"/>
      <c r="C51" s="34"/>
      <c r="D51" s="37"/>
      <c r="E51" s="37"/>
      <c r="F51" s="139"/>
      <c r="G51" s="139"/>
      <c r="H51" s="98"/>
      <c r="I51" s="98"/>
      <c r="J51" s="98"/>
      <c r="K51" s="98"/>
      <c r="L51" s="9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</row>
    <row r="52" spans="1:25" ht="15.75" customHeight="1" x14ac:dyDescent="0.3">
      <c r="A52" s="93" t="s">
        <v>359</v>
      </c>
      <c r="B52" s="32"/>
      <c r="C52" s="32"/>
      <c r="D52" s="38"/>
      <c r="E52" s="38"/>
      <c r="F52" s="138"/>
      <c r="G52" s="138"/>
      <c r="H52" s="98"/>
      <c r="I52" s="98"/>
      <c r="J52" s="98"/>
      <c r="K52" s="98"/>
      <c r="L52" s="9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</row>
    <row r="53" spans="1:25" ht="15.75" customHeight="1" thickBot="1" x14ac:dyDescent="0.35">
      <c r="A53" s="39"/>
      <c r="B53" s="34"/>
      <c r="C53" s="37"/>
      <c r="D53" s="37"/>
      <c r="E53" s="92"/>
      <c r="F53" s="98"/>
      <c r="G53" s="98"/>
      <c r="H53" s="98"/>
      <c r="I53" s="98"/>
      <c r="J53" s="98"/>
      <c r="K53" s="98"/>
      <c r="L53" s="9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</row>
    <row r="54" spans="1:25" ht="15.75" customHeight="1" thickBot="1" x14ac:dyDescent="0.35">
      <c r="A54" s="104" t="s">
        <v>381</v>
      </c>
      <c r="B54" s="40" t="s">
        <v>8</v>
      </c>
      <c r="C54" s="41" t="s">
        <v>9</v>
      </c>
      <c r="D54" s="41" t="s">
        <v>10</v>
      </c>
      <c r="E54" s="132" t="s">
        <v>11</v>
      </c>
      <c r="F54" s="133" t="s">
        <v>179</v>
      </c>
      <c r="G54" s="133" t="s">
        <v>12</v>
      </c>
      <c r="H54" s="98"/>
      <c r="I54" s="98"/>
      <c r="J54" s="98"/>
      <c r="K54" s="98"/>
      <c r="L54" s="9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</row>
    <row r="55" spans="1:25" ht="15.75" customHeight="1" x14ac:dyDescent="0.3">
      <c r="A55" s="106" t="s">
        <v>362</v>
      </c>
      <c r="B55" s="42">
        <v>0</v>
      </c>
      <c r="C55" s="43">
        <v>50</v>
      </c>
      <c r="D55" s="43">
        <f>B55+C55</f>
        <v>50</v>
      </c>
      <c r="E55" s="134">
        <v>115</v>
      </c>
      <c r="F55" s="135">
        <v>0</v>
      </c>
      <c r="G55" s="135">
        <f>D55-E55+F55</f>
        <v>-65</v>
      </c>
      <c r="H55" s="98"/>
      <c r="I55" s="98"/>
      <c r="J55" s="98"/>
      <c r="K55" s="98"/>
      <c r="L55" s="9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</row>
    <row r="56" spans="1:25" ht="15.75" customHeight="1" x14ac:dyDescent="0.3">
      <c r="A56" s="106" t="s">
        <v>363</v>
      </c>
      <c r="B56" s="42">
        <v>-50</v>
      </c>
      <c r="C56" s="43">
        <v>50</v>
      </c>
      <c r="D56" s="43">
        <f t="shared" ref="D56:D71" si="7">B56+C56</f>
        <v>0</v>
      </c>
      <c r="E56" s="134">
        <v>0</v>
      </c>
      <c r="F56" s="136"/>
      <c r="G56" s="135">
        <f t="shared" ref="G56:G71" si="8">D56-E56+F56</f>
        <v>0</v>
      </c>
      <c r="H56" s="98"/>
      <c r="I56" s="98"/>
      <c r="J56" s="98"/>
      <c r="K56" s="98"/>
      <c r="L56" s="9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</row>
    <row r="57" spans="1:25" ht="15.75" customHeight="1" x14ac:dyDescent="0.3">
      <c r="A57" s="106" t="s">
        <v>364</v>
      </c>
      <c r="B57" s="42">
        <v>0</v>
      </c>
      <c r="C57" s="43">
        <v>50</v>
      </c>
      <c r="D57" s="43">
        <f t="shared" si="7"/>
        <v>50</v>
      </c>
      <c r="E57" s="134">
        <v>50</v>
      </c>
      <c r="F57" s="136">
        <v>0</v>
      </c>
      <c r="G57" s="135">
        <f t="shared" si="8"/>
        <v>0</v>
      </c>
      <c r="H57" s="98"/>
      <c r="I57" s="98"/>
      <c r="J57" s="98"/>
      <c r="K57" s="98"/>
      <c r="L57" s="9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</row>
    <row r="58" spans="1:25" ht="15.75" customHeight="1" x14ac:dyDescent="0.3">
      <c r="A58" s="106" t="s">
        <v>365</v>
      </c>
      <c r="B58" s="42">
        <v>20</v>
      </c>
      <c r="C58" s="43">
        <v>50</v>
      </c>
      <c r="D58" s="43">
        <f t="shared" si="7"/>
        <v>70</v>
      </c>
      <c r="E58" s="134">
        <v>50</v>
      </c>
      <c r="F58" s="136">
        <v>0</v>
      </c>
      <c r="G58" s="136">
        <f t="shared" si="8"/>
        <v>20</v>
      </c>
      <c r="H58" s="98"/>
      <c r="I58" s="98"/>
      <c r="J58" s="98"/>
      <c r="K58" s="98"/>
      <c r="L58" s="9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</row>
    <row r="59" spans="1:25" ht="15.75" customHeight="1" x14ac:dyDescent="0.3">
      <c r="A59" s="106" t="s">
        <v>366</v>
      </c>
      <c r="B59" s="42">
        <v>50</v>
      </c>
      <c r="C59" s="43">
        <v>50</v>
      </c>
      <c r="D59" s="43">
        <f t="shared" si="7"/>
        <v>100</v>
      </c>
      <c r="E59" s="134">
        <v>150</v>
      </c>
      <c r="F59" s="136">
        <v>0</v>
      </c>
      <c r="G59" s="136">
        <f t="shared" si="8"/>
        <v>-50</v>
      </c>
      <c r="H59" s="98"/>
      <c r="I59" s="98"/>
      <c r="J59" s="98"/>
      <c r="K59" s="98"/>
      <c r="L59" s="9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</row>
    <row r="60" spans="1:25" ht="15.75" customHeight="1" x14ac:dyDescent="0.3">
      <c r="A60" s="106" t="s">
        <v>367</v>
      </c>
      <c r="B60" s="42">
        <v>160</v>
      </c>
      <c r="C60" s="43">
        <v>50</v>
      </c>
      <c r="D60" s="43">
        <f t="shared" si="7"/>
        <v>210</v>
      </c>
      <c r="E60" s="134">
        <v>210</v>
      </c>
      <c r="F60" s="136">
        <v>0</v>
      </c>
      <c r="G60" s="136">
        <f t="shared" si="8"/>
        <v>0</v>
      </c>
      <c r="H60" s="98"/>
      <c r="I60" s="98"/>
      <c r="J60" s="98"/>
      <c r="K60" s="98"/>
      <c r="L60" s="9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</row>
    <row r="61" spans="1:25" ht="15.75" customHeight="1" x14ac:dyDescent="0.3">
      <c r="A61" s="106" t="s">
        <v>368</v>
      </c>
      <c r="B61" s="42">
        <v>-50</v>
      </c>
      <c r="C61" s="43">
        <v>50</v>
      </c>
      <c r="D61" s="43">
        <f t="shared" si="7"/>
        <v>0</v>
      </c>
      <c r="E61" s="134">
        <v>0</v>
      </c>
      <c r="F61" s="136">
        <v>0</v>
      </c>
      <c r="G61" s="136">
        <f t="shared" si="8"/>
        <v>0</v>
      </c>
      <c r="H61" s="98"/>
      <c r="I61" s="98"/>
      <c r="J61" s="98"/>
      <c r="K61" s="98"/>
      <c r="L61" s="9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</row>
    <row r="62" spans="1:25" ht="15.75" customHeight="1" x14ac:dyDescent="0.3">
      <c r="A62" s="106" t="s">
        <v>369</v>
      </c>
      <c r="B62" s="42">
        <v>50</v>
      </c>
      <c r="C62" s="43">
        <v>50</v>
      </c>
      <c r="D62" s="43">
        <f t="shared" si="7"/>
        <v>100</v>
      </c>
      <c r="E62" s="134">
        <v>0</v>
      </c>
      <c r="F62" s="136">
        <v>0</v>
      </c>
      <c r="G62" s="136">
        <f t="shared" si="8"/>
        <v>100</v>
      </c>
      <c r="H62" s="98"/>
      <c r="I62" s="98"/>
      <c r="J62" s="98"/>
      <c r="K62" s="98"/>
      <c r="L62" s="9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</row>
    <row r="63" spans="1:25" ht="15.75" customHeight="1" x14ac:dyDescent="0.3">
      <c r="A63" s="106" t="s">
        <v>371</v>
      </c>
      <c r="B63" s="42">
        <v>100</v>
      </c>
      <c r="C63" s="43">
        <v>50</v>
      </c>
      <c r="D63" s="43">
        <f t="shared" si="7"/>
        <v>150</v>
      </c>
      <c r="E63" s="134">
        <v>0</v>
      </c>
      <c r="F63" s="136">
        <v>0</v>
      </c>
      <c r="G63" s="136">
        <f t="shared" si="8"/>
        <v>150</v>
      </c>
      <c r="H63" s="98"/>
      <c r="I63" s="98"/>
      <c r="J63" s="98"/>
      <c r="K63" s="98"/>
      <c r="L63" s="9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</row>
    <row r="64" spans="1:25" ht="15.75" customHeight="1" x14ac:dyDescent="0.3">
      <c r="A64" s="106" t="s">
        <v>370</v>
      </c>
      <c r="B64" s="42">
        <v>0</v>
      </c>
      <c r="C64" s="43">
        <v>50</v>
      </c>
      <c r="D64" s="43">
        <f t="shared" si="7"/>
        <v>50</v>
      </c>
      <c r="E64" s="134">
        <v>115</v>
      </c>
      <c r="F64" s="136">
        <v>0</v>
      </c>
      <c r="G64" s="136">
        <f t="shared" si="8"/>
        <v>-65</v>
      </c>
      <c r="H64" s="98"/>
      <c r="I64" s="98"/>
      <c r="J64" s="98"/>
      <c r="K64" s="98"/>
      <c r="L64" s="9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</row>
    <row r="65" spans="1:25" ht="15.75" customHeight="1" x14ac:dyDescent="0.3">
      <c r="A65" s="106" t="s">
        <v>372</v>
      </c>
      <c r="B65" s="42">
        <v>80</v>
      </c>
      <c r="C65" s="43">
        <v>50</v>
      </c>
      <c r="D65" s="43">
        <f t="shared" si="7"/>
        <v>130</v>
      </c>
      <c r="E65" s="134">
        <v>160.52000000000001</v>
      </c>
      <c r="F65" s="136">
        <v>0</v>
      </c>
      <c r="G65" s="136">
        <f t="shared" si="8"/>
        <v>-30.52000000000001</v>
      </c>
      <c r="H65" s="98"/>
      <c r="I65" s="98"/>
      <c r="J65" s="98"/>
      <c r="K65" s="98"/>
      <c r="L65" s="9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</row>
    <row r="66" spans="1:25" ht="15.75" customHeight="1" x14ac:dyDescent="0.3">
      <c r="A66" s="106" t="s">
        <v>373</v>
      </c>
      <c r="B66" s="42">
        <v>50</v>
      </c>
      <c r="C66" s="43">
        <v>50</v>
      </c>
      <c r="D66" s="43">
        <f t="shared" si="7"/>
        <v>100</v>
      </c>
      <c r="E66" s="134">
        <v>150</v>
      </c>
      <c r="F66" s="136">
        <v>0</v>
      </c>
      <c r="G66" s="136">
        <f t="shared" si="8"/>
        <v>-50</v>
      </c>
      <c r="H66" s="98"/>
      <c r="I66" s="98"/>
      <c r="J66" s="98"/>
      <c r="K66" s="98"/>
      <c r="L66" s="9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</row>
    <row r="67" spans="1:25" ht="15.75" customHeight="1" x14ac:dyDescent="0.3">
      <c r="A67" s="106" t="s">
        <v>374</v>
      </c>
      <c r="B67" s="42">
        <v>-50</v>
      </c>
      <c r="C67" s="43">
        <v>50</v>
      </c>
      <c r="D67" s="43">
        <f t="shared" si="7"/>
        <v>0</v>
      </c>
      <c r="E67" s="134">
        <v>65</v>
      </c>
      <c r="F67" s="136">
        <v>0</v>
      </c>
      <c r="G67" s="135">
        <f t="shared" si="8"/>
        <v>-65</v>
      </c>
      <c r="H67" s="98"/>
      <c r="I67" s="98"/>
      <c r="J67" s="98"/>
      <c r="K67" s="98"/>
      <c r="L67" s="9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</row>
    <row r="68" spans="1:25" ht="15.75" customHeight="1" x14ac:dyDescent="0.3">
      <c r="A68" s="106" t="s">
        <v>375</v>
      </c>
      <c r="B68" s="42">
        <v>-50</v>
      </c>
      <c r="C68" s="43">
        <v>50</v>
      </c>
      <c r="D68" s="43">
        <f t="shared" si="7"/>
        <v>0</v>
      </c>
      <c r="E68" s="134">
        <v>0</v>
      </c>
      <c r="F68" s="136">
        <v>0</v>
      </c>
      <c r="G68" s="135">
        <f t="shared" si="8"/>
        <v>0</v>
      </c>
      <c r="H68" s="98"/>
      <c r="I68" s="98"/>
      <c r="J68" s="98"/>
      <c r="K68" s="98"/>
      <c r="L68" s="9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</row>
    <row r="69" spans="1:25" ht="15.75" customHeight="1" x14ac:dyDescent="0.3">
      <c r="A69" s="106" t="s">
        <v>376</v>
      </c>
      <c r="B69" s="42">
        <v>-50</v>
      </c>
      <c r="C69" s="43">
        <v>50</v>
      </c>
      <c r="D69" s="43">
        <f t="shared" si="7"/>
        <v>0</v>
      </c>
      <c r="E69" s="134">
        <v>65</v>
      </c>
      <c r="F69" s="136">
        <v>0</v>
      </c>
      <c r="G69" s="135">
        <f t="shared" si="8"/>
        <v>-65</v>
      </c>
      <c r="H69" s="98"/>
      <c r="I69" s="98"/>
      <c r="J69" s="98"/>
      <c r="K69" s="98"/>
      <c r="L69" s="9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</row>
    <row r="70" spans="1:25" ht="15.75" customHeight="1" x14ac:dyDescent="0.3">
      <c r="A70" s="106" t="s">
        <v>377</v>
      </c>
      <c r="B70" s="42">
        <v>0</v>
      </c>
      <c r="C70" s="43">
        <v>50</v>
      </c>
      <c r="D70" s="43">
        <f t="shared" si="7"/>
        <v>50</v>
      </c>
      <c r="E70" s="134">
        <v>115</v>
      </c>
      <c r="F70" s="136">
        <v>0</v>
      </c>
      <c r="G70" s="135">
        <f t="shared" si="8"/>
        <v>-65</v>
      </c>
      <c r="H70" s="98"/>
      <c r="I70" s="98"/>
      <c r="J70" s="98"/>
      <c r="K70" s="98"/>
      <c r="L70" s="9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</row>
    <row r="71" spans="1:25" ht="15.75" customHeight="1" thickBot="1" x14ac:dyDescent="0.35">
      <c r="A71" s="106" t="s">
        <v>378</v>
      </c>
      <c r="B71" s="42">
        <v>-50</v>
      </c>
      <c r="C71" s="43">
        <v>50</v>
      </c>
      <c r="D71" s="43">
        <f t="shared" si="7"/>
        <v>0</v>
      </c>
      <c r="E71" s="137">
        <v>0</v>
      </c>
      <c r="F71" s="135"/>
      <c r="G71" s="135">
        <f t="shared" si="8"/>
        <v>0</v>
      </c>
      <c r="H71" s="98"/>
      <c r="I71" s="98"/>
      <c r="J71" s="98"/>
      <c r="K71" s="98"/>
      <c r="L71" s="9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</row>
    <row r="72" spans="1:25" ht="15.75" customHeight="1" thickBot="1" x14ac:dyDescent="0.35">
      <c r="A72" s="105" t="s">
        <v>13</v>
      </c>
      <c r="B72" s="44">
        <f t="shared" ref="B72:G72" si="9">SUM(B55:B71)</f>
        <v>210</v>
      </c>
      <c r="C72" s="44">
        <f t="shared" si="9"/>
        <v>850</v>
      </c>
      <c r="D72" s="44">
        <f t="shared" si="9"/>
        <v>1060</v>
      </c>
      <c r="E72" s="44">
        <f t="shared" si="9"/>
        <v>1245.52</v>
      </c>
      <c r="F72" s="44">
        <f t="shared" si="9"/>
        <v>0</v>
      </c>
      <c r="G72" s="44">
        <f t="shared" si="9"/>
        <v>-185.52</v>
      </c>
      <c r="H72" s="98"/>
      <c r="I72" s="98"/>
      <c r="J72" s="98"/>
      <c r="K72" s="98"/>
      <c r="L72" s="9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</row>
    <row r="73" spans="1:25" ht="15.75" customHeight="1" x14ac:dyDescent="0.3">
      <c r="A73" s="45"/>
      <c r="B73" s="42"/>
      <c r="C73" s="43"/>
      <c r="D73" s="43"/>
      <c r="E73" s="43"/>
      <c r="F73" s="98"/>
      <c r="G73" s="98"/>
      <c r="H73" s="98"/>
      <c r="I73" s="98"/>
      <c r="J73" s="98"/>
      <c r="K73" s="98"/>
      <c r="L73" s="9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</row>
    <row r="74" spans="1:25" ht="15.75" customHeight="1" thickBot="1" x14ac:dyDescent="0.35">
      <c r="A74" s="46"/>
      <c r="B74" s="36"/>
      <c r="C74" s="36"/>
      <c r="D74" s="47"/>
      <c r="E74" s="156"/>
      <c r="F74" s="139"/>
      <c r="G74" s="139"/>
      <c r="H74" s="98"/>
      <c r="I74" s="98"/>
      <c r="J74" s="98"/>
      <c r="K74" s="98"/>
      <c r="L74" s="9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</row>
    <row r="75" spans="1:25" ht="15.75" customHeight="1" x14ac:dyDescent="0.3">
      <c r="A75" s="48"/>
      <c r="B75" s="32"/>
      <c r="C75" s="32"/>
      <c r="D75" s="49"/>
      <c r="E75" s="49"/>
      <c r="F75" s="138"/>
      <c r="G75" s="138"/>
      <c r="H75" s="98"/>
      <c r="I75" s="98"/>
      <c r="J75" s="98"/>
      <c r="K75" s="98"/>
      <c r="L75" s="9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</row>
    <row r="76" spans="1:25" ht="15.75" customHeight="1" x14ac:dyDescent="0.3">
      <c r="A76" s="200" t="s">
        <v>360</v>
      </c>
      <c r="B76" s="201"/>
      <c r="C76" s="201"/>
      <c r="D76" s="202"/>
      <c r="E76" s="123"/>
      <c r="F76" s="98"/>
      <c r="G76" s="98"/>
      <c r="H76" s="98"/>
      <c r="I76" s="98"/>
      <c r="J76" s="98"/>
      <c r="K76" s="98"/>
      <c r="L76" s="9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</row>
    <row r="77" spans="1:25" ht="15.75" customHeight="1" x14ac:dyDescent="0.3">
      <c r="A77" s="50"/>
      <c r="B77" s="51" t="s">
        <v>1</v>
      </c>
      <c r="C77" s="52" t="s">
        <v>38</v>
      </c>
      <c r="D77"/>
      <c r="E77"/>
      <c r="F77" s="98"/>
      <c r="G77" s="98"/>
      <c r="H77" s="98"/>
      <c r="I77" s="98"/>
      <c r="J77" s="98"/>
      <c r="K77" s="98"/>
      <c r="L77" s="9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</row>
    <row r="78" spans="1:25" ht="15.75" customHeight="1" x14ac:dyDescent="0.3">
      <c r="A78" s="33" t="s">
        <v>14</v>
      </c>
      <c r="B78" s="53"/>
      <c r="C78" s="31"/>
      <c r="D78" s="54"/>
      <c r="E78" s="54"/>
      <c r="F78" s="98"/>
      <c r="G78" s="98"/>
      <c r="H78" s="98"/>
      <c r="I78" s="98"/>
      <c r="J78" s="98"/>
      <c r="K78" s="98"/>
      <c r="L78" s="9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 spans="1:25" ht="15.75" customHeight="1" x14ac:dyDescent="0.3">
      <c r="A79" s="31" t="s">
        <v>15</v>
      </c>
      <c r="B79" s="55">
        <f>B48</f>
        <v>83.566947999999684</v>
      </c>
      <c r="C79" s="31">
        <f>C29</f>
        <v>0</v>
      </c>
      <c r="D79" s="31"/>
      <c r="E79" s="31"/>
      <c r="F79" s="98"/>
      <c r="G79" s="98"/>
      <c r="H79" s="98"/>
      <c r="I79" s="98"/>
      <c r="J79" s="98"/>
      <c r="K79" s="98"/>
      <c r="L79" s="9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</row>
    <row r="80" spans="1:25" ht="15.75" customHeight="1" x14ac:dyDescent="0.3">
      <c r="A80" s="56" t="s">
        <v>16</v>
      </c>
      <c r="B80" s="57">
        <f>SUMIF(G55:G71,"&gt;0")</f>
        <v>270</v>
      </c>
      <c r="C80" s="31">
        <v>0</v>
      </c>
      <c r="D80" s="58"/>
      <c r="E80" s="58"/>
      <c r="F80" s="98"/>
      <c r="G80" s="98"/>
      <c r="H80" s="98"/>
      <c r="I80" s="98"/>
      <c r="J80" s="98"/>
      <c r="K80" s="98"/>
      <c r="L80" s="9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</row>
    <row r="81" spans="1:25" ht="15.75" customHeight="1" thickBot="1" x14ac:dyDescent="0.35">
      <c r="A81" s="56"/>
      <c r="B81" s="59">
        <f>SUM(B79:B80)</f>
        <v>353.56694799999968</v>
      </c>
      <c r="C81" s="59">
        <f>SUM(C79:C80)</f>
        <v>0</v>
      </c>
      <c r="D81" s="31"/>
      <c r="E81" s="31"/>
      <c r="F81" s="98"/>
      <c r="G81" s="98"/>
      <c r="H81" s="98"/>
      <c r="I81" s="98"/>
      <c r="J81" s="98"/>
      <c r="K81" s="98"/>
      <c r="L81" s="9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</row>
    <row r="82" spans="1:25" ht="15.75" customHeight="1" x14ac:dyDescent="0.3">
      <c r="A82" s="60"/>
      <c r="B82" s="61"/>
      <c r="C82" s="31"/>
      <c r="D82" s="62"/>
      <c r="E82" s="62"/>
      <c r="F82" s="98"/>
      <c r="G82" s="98"/>
      <c r="H82" s="98"/>
      <c r="I82" s="98"/>
      <c r="J82" s="98"/>
      <c r="K82" s="98"/>
      <c r="L82" s="9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</row>
    <row r="83" spans="1:25" ht="15.75" customHeight="1" x14ac:dyDescent="0.3">
      <c r="A83" s="30" t="s">
        <v>17</v>
      </c>
      <c r="B83" s="29"/>
      <c r="C83" s="29"/>
      <c r="D83" s="29"/>
      <c r="E83" s="29"/>
      <c r="F83" s="98"/>
      <c r="G83" s="98"/>
      <c r="H83" s="98"/>
      <c r="I83" s="98"/>
      <c r="J83" s="98"/>
      <c r="K83" s="98"/>
      <c r="L83" s="9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</row>
    <row r="84" spans="1:25" ht="15.75" customHeight="1" x14ac:dyDescent="0.3">
      <c r="A84" s="29" t="s">
        <v>356</v>
      </c>
      <c r="B84" s="11">
        <f>B48*-1</f>
        <v>-83.566947999999684</v>
      </c>
      <c r="C84" s="179">
        <v>0</v>
      </c>
      <c r="D84" s="29"/>
      <c r="E84" s="29"/>
      <c r="F84" s="98"/>
      <c r="G84" s="98"/>
      <c r="H84" s="98"/>
      <c r="I84" s="98"/>
      <c r="J84" s="98"/>
      <c r="K84" s="98"/>
      <c r="L84" s="9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</row>
    <row r="85" spans="1:25" ht="15.75" customHeight="1" x14ac:dyDescent="0.3">
      <c r="A85" s="29" t="s">
        <v>18</v>
      </c>
      <c r="B85" s="178">
        <f>SUMIF(G55:G71,"&lt;0")*-1</f>
        <v>455.52</v>
      </c>
      <c r="C85" s="165">
        <v>0</v>
      </c>
      <c r="D85" s="29"/>
      <c r="E85" s="29"/>
      <c r="F85" s="98"/>
      <c r="G85" s="98"/>
      <c r="H85" s="98"/>
      <c r="I85" s="98"/>
      <c r="J85" s="98"/>
      <c r="K85" s="98"/>
      <c r="L85" s="9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</row>
    <row r="86" spans="1:25" ht="15.75" customHeight="1" thickBot="1" x14ac:dyDescent="0.35">
      <c r="A86" s="63"/>
      <c r="B86" s="122">
        <f>SUM(B84:B85)</f>
        <v>371.9530520000003</v>
      </c>
      <c r="C86" s="122">
        <f>SUM(C84:C85)</f>
        <v>0</v>
      </c>
      <c r="D86" s="29"/>
      <c r="E86" s="29"/>
      <c r="F86" s="98"/>
      <c r="G86" s="98"/>
      <c r="H86" s="98"/>
      <c r="I86" s="98"/>
      <c r="J86" s="98"/>
      <c r="K86" s="98"/>
      <c r="L86" s="9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</row>
    <row r="87" spans="1:25" ht="15.75" customHeight="1" x14ac:dyDescent="0.3">
      <c r="A87" s="29"/>
      <c r="B87" s="64"/>
      <c r="C87" s="29"/>
      <c r="D87" s="29"/>
      <c r="E87" s="29"/>
      <c r="F87" s="98"/>
      <c r="G87" s="98"/>
      <c r="H87" s="98"/>
      <c r="I87" s="98"/>
      <c r="J87" s="98"/>
      <c r="K87" s="98"/>
      <c r="L87" s="9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</row>
    <row r="88" spans="1:25" ht="15.75" customHeight="1" x14ac:dyDescent="0.3">
      <c r="A88" s="30" t="s">
        <v>19</v>
      </c>
      <c r="B88" s="65">
        <f>B81-B86</f>
        <v>-18.386104000000614</v>
      </c>
      <c r="C88" s="65">
        <f>C81-C86</f>
        <v>0</v>
      </c>
      <c r="D88" s="30"/>
      <c r="E88" s="30"/>
      <c r="F88" s="98"/>
      <c r="G88" s="98"/>
      <c r="H88" s="98"/>
      <c r="I88" s="98"/>
      <c r="J88" s="98"/>
      <c r="K88" s="98"/>
      <c r="L88" s="9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</row>
    <row r="89" spans="1:25" ht="15.75" customHeight="1" x14ac:dyDescent="0.3">
      <c r="A89" s="30"/>
      <c r="B89" s="65"/>
      <c r="C89" s="66"/>
      <c r="D89" s="30"/>
      <c r="E89" s="30"/>
      <c r="F89" s="98"/>
      <c r="G89" s="98"/>
      <c r="H89" s="98"/>
      <c r="I89" s="98"/>
      <c r="J89" s="98"/>
      <c r="K89" s="98"/>
      <c r="L89" s="9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</row>
    <row r="90" spans="1:25" ht="15.75" customHeight="1" thickBot="1" x14ac:dyDescent="0.35">
      <c r="A90" s="7"/>
      <c r="B90" s="6"/>
      <c r="C90" s="6"/>
      <c r="D90" s="6"/>
      <c r="E90" s="6"/>
      <c r="F90" s="139"/>
      <c r="G90" s="139"/>
      <c r="H90" s="98"/>
      <c r="I90" s="98"/>
      <c r="J90" s="98"/>
      <c r="K90" s="98"/>
      <c r="L90" s="9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</row>
    <row r="91" spans="1:25" ht="15.75" customHeight="1" x14ac:dyDescent="0.3">
      <c r="A91" s="184"/>
      <c r="B91" s="185"/>
      <c r="C91" s="185"/>
      <c r="D91" s="185"/>
      <c r="E91" s="185"/>
      <c r="F91" s="186"/>
      <c r="G91" s="186"/>
      <c r="H91" s="98"/>
      <c r="I91" s="98"/>
      <c r="J91" s="98"/>
      <c r="K91" s="98"/>
      <c r="L91" s="9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</row>
    <row r="92" spans="1:25" ht="15.75" customHeight="1" x14ac:dyDescent="0.3">
      <c r="B92"/>
      <c r="C92"/>
      <c r="D92"/>
      <c r="E92"/>
      <c r="G92" s="186"/>
      <c r="H92" s="98"/>
      <c r="I92" s="98"/>
      <c r="J92" s="98"/>
      <c r="K92" s="98"/>
      <c r="L92" s="9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</row>
    <row r="93" spans="1:25" ht="15.75" customHeight="1" x14ac:dyDescent="0.3">
      <c r="A93" s="3"/>
      <c r="B93" s="72"/>
      <c r="C93" s="72"/>
      <c r="D93" s="72"/>
      <c r="E93" s="72"/>
      <c r="F93" s="98"/>
      <c r="G93" s="98"/>
      <c r="H93" s="98"/>
      <c r="I93" s="98"/>
      <c r="J93" s="98"/>
      <c r="K93" s="98"/>
      <c r="L93" s="9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</row>
    <row r="94" spans="1:25" ht="15.75" customHeight="1" x14ac:dyDescent="0.3">
      <c r="A94" s="3"/>
      <c r="B94" s="72"/>
      <c r="C94" s="72"/>
      <c r="D94" s="72"/>
      <c r="E94" s="72"/>
      <c r="F94" s="98"/>
      <c r="G94" s="98"/>
      <c r="H94" s="98"/>
      <c r="I94" s="98"/>
      <c r="J94" s="98"/>
      <c r="K94" s="98"/>
      <c r="L94" s="9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</row>
    <row r="95" spans="1:25" ht="15.75" customHeight="1" x14ac:dyDescent="0.3">
      <c r="A95" s="3"/>
      <c r="B95" s="72"/>
      <c r="C95" s="72"/>
      <c r="D95" s="72"/>
      <c r="E95" s="72"/>
      <c r="F95" s="98"/>
      <c r="G95" s="98"/>
      <c r="H95" s="98"/>
      <c r="I95" s="98"/>
      <c r="J95" s="98"/>
      <c r="K95" s="98"/>
      <c r="L95" s="9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</row>
    <row r="96" spans="1:25" ht="15.75" customHeight="1" x14ac:dyDescent="0.3">
      <c r="A96" s="3"/>
      <c r="B96" s="72"/>
      <c r="C96" s="72"/>
      <c r="D96" s="72"/>
      <c r="E96" s="72"/>
      <c r="F96" s="98"/>
      <c r="G96" s="98"/>
      <c r="H96" s="98"/>
      <c r="I96" s="98"/>
      <c r="J96" s="98"/>
      <c r="K96" s="98"/>
      <c r="L96" s="9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</row>
    <row r="97" spans="1:25" x14ac:dyDescent="0.3">
      <c r="A97" s="3"/>
      <c r="B97" s="72"/>
      <c r="C97" s="72"/>
      <c r="D97" s="72"/>
      <c r="E97" s="72"/>
      <c r="F97" s="98"/>
      <c r="G97" s="98"/>
      <c r="H97" s="98"/>
      <c r="I97" s="98"/>
      <c r="J97" s="98"/>
      <c r="K97" s="98"/>
      <c r="L97" s="9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</row>
    <row r="98" spans="1:25" x14ac:dyDescent="0.3">
      <c r="A98" s="3"/>
      <c r="B98" s="72"/>
      <c r="C98" s="72"/>
      <c r="D98" s="72"/>
      <c r="E98" s="72"/>
      <c r="F98" s="98"/>
      <c r="G98" s="98"/>
      <c r="H98" s="98"/>
      <c r="I98" s="98"/>
      <c r="J98" s="98"/>
      <c r="K98" s="98"/>
      <c r="L98" s="9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</row>
    <row r="99" spans="1:25" x14ac:dyDescent="0.3">
      <c r="A99" s="3"/>
      <c r="B99" s="72"/>
      <c r="C99" s="72"/>
      <c r="D99" s="72"/>
      <c r="E99" s="72"/>
      <c r="F99" s="98"/>
      <c r="G99" s="98"/>
      <c r="H99" s="98"/>
      <c r="I99" s="98"/>
      <c r="J99" s="98"/>
      <c r="K99" s="98"/>
      <c r="L99" s="9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 spans="1:25" x14ac:dyDescent="0.3">
      <c r="A100" s="3"/>
      <c r="B100" s="72"/>
      <c r="C100" s="72"/>
      <c r="D100" s="72"/>
      <c r="E100" s="72"/>
      <c r="F100" s="98"/>
      <c r="G100" s="98"/>
      <c r="H100" s="98"/>
      <c r="I100" s="98"/>
      <c r="J100" s="98"/>
      <c r="K100" s="98"/>
      <c r="L100" s="9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</row>
    <row r="101" spans="1:25" x14ac:dyDescent="0.3">
      <c r="A101" s="3"/>
      <c r="B101" s="72"/>
      <c r="C101" s="72"/>
      <c r="D101" s="72"/>
      <c r="E101" s="72"/>
      <c r="F101" s="98"/>
      <c r="G101" s="98"/>
      <c r="H101" s="98"/>
      <c r="I101" s="98"/>
      <c r="J101" s="98"/>
      <c r="K101" s="98"/>
      <c r="L101" s="9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 spans="1:25" x14ac:dyDescent="0.3">
      <c r="A102" s="3"/>
      <c r="B102" s="72"/>
      <c r="C102" s="72"/>
      <c r="D102" s="72"/>
      <c r="E102" s="72"/>
      <c r="F102" s="98"/>
      <c r="G102" s="98"/>
      <c r="H102" s="98"/>
      <c r="I102" s="98"/>
      <c r="J102" s="98"/>
      <c r="K102" s="98"/>
      <c r="L102" s="9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 spans="1:25" x14ac:dyDescent="0.3">
      <c r="A103" s="98"/>
      <c r="B103" s="99"/>
      <c r="C103" s="99"/>
      <c r="D103" s="99"/>
      <c r="E103" s="99"/>
      <c r="F103" s="98"/>
      <c r="G103" s="98"/>
      <c r="H103" s="98"/>
      <c r="I103" s="98"/>
      <c r="J103" s="98"/>
      <c r="K103" s="98"/>
      <c r="L103" s="9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</row>
    <row r="104" spans="1:25" x14ac:dyDescent="0.3">
      <c r="A104" s="98"/>
      <c r="B104" s="99"/>
      <c r="C104" s="99"/>
      <c r="D104" s="99"/>
      <c r="E104" s="99"/>
      <c r="F104" s="98"/>
      <c r="G104" s="98"/>
      <c r="H104" s="98"/>
      <c r="I104" s="98"/>
      <c r="J104" s="98"/>
      <c r="K104" s="98"/>
      <c r="L104" s="9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</row>
    <row r="105" spans="1:25" x14ac:dyDescent="0.3">
      <c r="A105" s="98"/>
      <c r="B105" s="99"/>
      <c r="C105" s="99"/>
      <c r="D105" s="99"/>
      <c r="E105" s="99"/>
      <c r="F105" s="98"/>
      <c r="G105" s="98"/>
      <c r="H105" s="98"/>
      <c r="I105" s="98"/>
      <c r="J105" s="98"/>
      <c r="K105" s="98"/>
      <c r="L105" s="9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</row>
    <row r="106" spans="1:25" x14ac:dyDescent="0.3">
      <c r="A106" s="98"/>
      <c r="B106" s="99"/>
      <c r="C106" s="99"/>
      <c r="D106" s="99"/>
      <c r="E106" s="99"/>
      <c r="F106" s="98"/>
      <c r="G106" s="98"/>
      <c r="H106" s="98"/>
      <c r="I106" s="98"/>
      <c r="J106" s="98"/>
      <c r="K106" s="98"/>
      <c r="L106" s="9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</row>
    <row r="107" spans="1:25" x14ac:dyDescent="0.3">
      <c r="A107" s="98"/>
      <c r="B107" s="99"/>
      <c r="C107" s="99"/>
      <c r="D107" s="99"/>
      <c r="E107" s="99"/>
      <c r="F107" s="98"/>
      <c r="G107" s="98"/>
      <c r="H107" s="98"/>
      <c r="I107" s="98"/>
      <c r="J107" s="98"/>
      <c r="K107" s="98"/>
      <c r="L107" s="9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</row>
    <row r="108" spans="1:25" x14ac:dyDescent="0.3">
      <c r="A108" s="98"/>
      <c r="B108" s="99"/>
      <c r="C108" s="99"/>
      <c r="D108" s="99"/>
      <c r="E108" s="99"/>
      <c r="F108" s="98"/>
      <c r="G108" s="98"/>
      <c r="H108" s="98"/>
      <c r="I108" s="98"/>
      <c r="J108" s="98"/>
      <c r="K108" s="98"/>
      <c r="L108" s="9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</row>
    <row r="109" spans="1:25" x14ac:dyDescent="0.3">
      <c r="A109" s="98"/>
      <c r="B109" s="99"/>
      <c r="C109" s="99"/>
      <c r="D109" s="99"/>
      <c r="E109" s="99"/>
      <c r="F109" s="98"/>
      <c r="G109" s="98"/>
      <c r="H109" s="98"/>
      <c r="I109" s="98"/>
      <c r="J109" s="98"/>
      <c r="K109" s="98"/>
      <c r="L109" s="9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</row>
    <row r="110" spans="1:25" x14ac:dyDescent="0.3">
      <c r="A110" s="98"/>
      <c r="B110" s="99"/>
      <c r="C110" s="99"/>
      <c r="D110" s="99"/>
      <c r="E110" s="99"/>
      <c r="F110" s="98"/>
      <c r="G110" s="98"/>
      <c r="H110" s="98"/>
      <c r="I110" s="98"/>
      <c r="J110" s="98"/>
      <c r="K110" s="98"/>
      <c r="L110" s="9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</row>
    <row r="111" spans="1:25" x14ac:dyDescent="0.3">
      <c r="A111" s="98"/>
      <c r="B111" s="99"/>
      <c r="C111" s="99"/>
      <c r="D111" s="99"/>
      <c r="E111" s="99"/>
      <c r="F111" s="98"/>
      <c r="G111" s="98"/>
      <c r="H111" s="98"/>
      <c r="I111" s="98"/>
      <c r="J111" s="98"/>
      <c r="K111" s="98"/>
      <c r="L111" s="9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</row>
    <row r="112" spans="1:25" x14ac:dyDescent="0.3">
      <c r="A112" s="98"/>
      <c r="B112" s="99"/>
      <c r="C112" s="99"/>
      <c r="D112" s="99"/>
      <c r="E112" s="99"/>
      <c r="F112" s="98"/>
      <c r="G112" s="98"/>
      <c r="H112" s="98"/>
      <c r="I112" s="98"/>
      <c r="J112" s="98"/>
      <c r="K112" s="98"/>
      <c r="L112" s="9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</row>
    <row r="113" spans="1:25" x14ac:dyDescent="0.3">
      <c r="A113" s="98"/>
      <c r="B113" s="99"/>
      <c r="C113" s="99"/>
      <c r="D113" s="99"/>
      <c r="E113" s="99"/>
      <c r="F113" s="98"/>
      <c r="G113" s="98"/>
      <c r="H113" s="98"/>
      <c r="I113" s="98"/>
      <c r="J113" s="98"/>
      <c r="K113" s="98"/>
      <c r="L113" s="9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</row>
    <row r="114" spans="1:25" x14ac:dyDescent="0.3">
      <c r="A114" s="98"/>
      <c r="B114" s="99"/>
      <c r="C114" s="99"/>
      <c r="D114" s="99"/>
      <c r="E114" s="99"/>
      <c r="F114" s="98"/>
      <c r="G114" s="98"/>
      <c r="H114" s="98"/>
      <c r="I114" s="98"/>
      <c r="J114" s="98"/>
      <c r="K114" s="98"/>
      <c r="L114" s="9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</row>
    <row r="115" spans="1:25" x14ac:dyDescent="0.3">
      <c r="A115" s="98"/>
      <c r="B115" s="99"/>
      <c r="C115" s="99"/>
      <c r="D115" s="99"/>
      <c r="E115" s="99"/>
      <c r="F115" s="98"/>
      <c r="G115" s="98"/>
      <c r="H115" s="98"/>
      <c r="I115" s="98"/>
      <c r="J115" s="98"/>
      <c r="K115" s="98"/>
      <c r="L115" s="9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</row>
    <row r="116" spans="1:25" x14ac:dyDescent="0.3">
      <c r="A116" s="98"/>
      <c r="B116" s="99"/>
      <c r="C116" s="99"/>
      <c r="D116" s="99"/>
      <c r="E116" s="99"/>
      <c r="F116" s="98"/>
      <c r="G116" s="98"/>
      <c r="H116" s="98"/>
      <c r="I116" s="98"/>
      <c r="J116" s="98"/>
      <c r="K116" s="98"/>
      <c r="L116" s="9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</row>
    <row r="117" spans="1:25" x14ac:dyDescent="0.3">
      <c r="A117" s="98"/>
      <c r="B117" s="99"/>
      <c r="C117" s="99"/>
      <c r="D117" s="99"/>
      <c r="E117" s="99"/>
      <c r="F117" s="98"/>
      <c r="G117" s="98"/>
      <c r="H117" s="98"/>
      <c r="I117" s="98"/>
      <c r="J117" s="98"/>
      <c r="K117" s="98"/>
      <c r="L117" s="9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</row>
    <row r="118" spans="1:25" x14ac:dyDescent="0.3">
      <c r="A118" s="98"/>
      <c r="B118" s="99"/>
      <c r="C118" s="99"/>
      <c r="D118" s="99"/>
      <c r="E118" s="99"/>
      <c r="F118" s="98"/>
      <c r="G118" s="98"/>
      <c r="H118" s="98"/>
      <c r="I118" s="98"/>
      <c r="J118" s="98"/>
      <c r="K118" s="98"/>
      <c r="L118" s="9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</row>
    <row r="119" spans="1:25" x14ac:dyDescent="0.3">
      <c r="A119" s="98"/>
      <c r="B119" s="99"/>
      <c r="C119" s="99"/>
      <c r="D119" s="99"/>
      <c r="E119" s="99"/>
      <c r="F119" s="98"/>
      <c r="G119" s="98"/>
      <c r="H119" s="98"/>
      <c r="I119" s="98"/>
      <c r="J119" s="98"/>
      <c r="K119" s="98"/>
      <c r="L119" s="9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</row>
    <row r="120" spans="1:25" x14ac:dyDescent="0.3">
      <c r="A120" s="98"/>
      <c r="B120" s="99"/>
      <c r="C120" s="99"/>
      <c r="D120" s="99"/>
      <c r="E120" s="99"/>
      <c r="F120" s="98"/>
      <c r="G120" s="98"/>
      <c r="H120" s="98"/>
      <c r="I120" s="98"/>
      <c r="J120" s="98"/>
      <c r="K120" s="98"/>
      <c r="L120" s="9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</row>
    <row r="121" spans="1:25" x14ac:dyDescent="0.3">
      <c r="A121" s="98"/>
      <c r="B121" s="99"/>
      <c r="C121" s="99"/>
      <c r="D121" s="99"/>
      <c r="E121" s="99"/>
      <c r="F121" s="98"/>
      <c r="G121" s="98"/>
      <c r="H121" s="98"/>
      <c r="I121" s="98"/>
      <c r="J121" s="98"/>
      <c r="K121" s="98"/>
      <c r="L121" s="9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</row>
    <row r="122" spans="1:25" x14ac:dyDescent="0.3">
      <c r="A122" s="98"/>
      <c r="B122" s="99"/>
      <c r="C122" s="99"/>
      <c r="D122" s="99"/>
      <c r="E122" s="99"/>
      <c r="F122" s="98"/>
      <c r="G122" s="98"/>
      <c r="H122" s="98"/>
      <c r="I122" s="98"/>
      <c r="J122" s="98"/>
      <c r="K122" s="98"/>
      <c r="L122" s="9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</row>
    <row r="123" spans="1:25" x14ac:dyDescent="0.3">
      <c r="A123" s="98"/>
      <c r="B123" s="99"/>
      <c r="C123" s="99"/>
      <c r="D123" s="99"/>
      <c r="E123" s="99"/>
      <c r="F123" s="98"/>
      <c r="G123" s="98"/>
      <c r="H123" s="98"/>
      <c r="I123" s="98"/>
      <c r="J123" s="98"/>
      <c r="K123" s="98"/>
      <c r="L123" s="9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</row>
    <row r="124" spans="1:25" x14ac:dyDescent="0.3">
      <c r="A124" s="98"/>
      <c r="B124" s="99"/>
      <c r="C124" s="99"/>
      <c r="D124" s="99"/>
      <c r="E124" s="99"/>
      <c r="F124" s="98"/>
      <c r="G124" s="98"/>
      <c r="H124" s="98"/>
      <c r="I124" s="98"/>
      <c r="J124" s="98"/>
      <c r="K124" s="98"/>
      <c r="L124" s="9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</row>
    <row r="125" spans="1:25" x14ac:dyDescent="0.3">
      <c r="A125" s="98"/>
      <c r="B125" s="99"/>
      <c r="C125" s="99"/>
      <c r="D125" s="99"/>
      <c r="E125" s="99"/>
      <c r="F125" s="98"/>
      <c r="G125" s="98"/>
      <c r="H125" s="98"/>
      <c r="I125" s="98"/>
      <c r="J125" s="98"/>
      <c r="K125" s="98"/>
      <c r="L125" s="9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</row>
    <row r="126" spans="1:25" x14ac:dyDescent="0.3">
      <c r="A126" s="98"/>
      <c r="B126" s="99"/>
      <c r="C126" s="99"/>
      <c r="D126" s="99"/>
      <c r="E126" s="99"/>
      <c r="F126" s="98"/>
      <c r="G126" s="98"/>
      <c r="H126" s="98"/>
      <c r="I126" s="98"/>
      <c r="J126" s="98"/>
      <c r="K126" s="98"/>
      <c r="L126" s="9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</row>
    <row r="127" spans="1:25" x14ac:dyDescent="0.3">
      <c r="A127" s="98"/>
      <c r="B127" s="99"/>
      <c r="C127" s="99"/>
      <c r="D127" s="99"/>
      <c r="E127" s="99"/>
      <c r="F127" s="98"/>
      <c r="G127" s="98"/>
      <c r="H127" s="98"/>
      <c r="I127" s="98"/>
      <c r="J127" s="98"/>
      <c r="K127" s="98"/>
      <c r="L127" s="9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</row>
    <row r="128" spans="1:25" x14ac:dyDescent="0.3">
      <c r="A128" s="98"/>
      <c r="B128" s="99"/>
      <c r="C128" s="99"/>
      <c r="D128" s="99"/>
      <c r="E128" s="99"/>
      <c r="F128" s="98"/>
      <c r="G128" s="98"/>
      <c r="H128" s="98"/>
      <c r="I128" s="98"/>
      <c r="J128" s="98"/>
      <c r="K128" s="98"/>
      <c r="L128" s="9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</row>
    <row r="129" spans="1:25" x14ac:dyDescent="0.3">
      <c r="A129" s="98"/>
      <c r="B129" s="99"/>
      <c r="C129" s="99"/>
      <c r="D129" s="99"/>
      <c r="E129" s="99"/>
      <c r="F129" s="98"/>
      <c r="G129" s="98"/>
      <c r="H129" s="98"/>
      <c r="I129" s="98"/>
      <c r="J129" s="98"/>
      <c r="K129" s="98"/>
      <c r="L129" s="9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</row>
    <row r="130" spans="1:25" x14ac:dyDescent="0.3">
      <c r="A130" s="98"/>
      <c r="B130" s="99"/>
      <c r="C130" s="99"/>
      <c r="D130" s="99"/>
      <c r="E130" s="99"/>
      <c r="F130" s="98"/>
      <c r="G130" s="98"/>
      <c r="H130" s="98"/>
      <c r="I130" s="98"/>
      <c r="J130" s="98"/>
      <c r="K130" s="98"/>
      <c r="L130" s="9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</row>
    <row r="131" spans="1:25" x14ac:dyDescent="0.3">
      <c r="A131" s="98"/>
      <c r="B131" s="99"/>
      <c r="C131" s="99"/>
      <c r="D131" s="99"/>
      <c r="E131" s="99"/>
      <c r="F131" s="98"/>
      <c r="G131" s="98"/>
      <c r="H131" s="98"/>
      <c r="I131" s="98"/>
      <c r="J131" s="98"/>
      <c r="K131" s="98"/>
      <c r="L131" s="9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</row>
    <row r="132" spans="1:25" x14ac:dyDescent="0.3">
      <c r="A132" s="98"/>
      <c r="B132" s="99"/>
      <c r="C132" s="99"/>
      <c r="D132" s="99"/>
      <c r="E132" s="99"/>
      <c r="F132" s="98"/>
      <c r="G132" s="98"/>
      <c r="H132" s="98"/>
      <c r="I132" s="98"/>
      <c r="J132" s="98"/>
      <c r="K132" s="98"/>
      <c r="L132" s="9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</row>
    <row r="133" spans="1:25" x14ac:dyDescent="0.3">
      <c r="A133" s="98"/>
      <c r="B133" s="99"/>
      <c r="C133" s="99"/>
      <c r="D133" s="99"/>
      <c r="E133" s="99"/>
      <c r="F133" s="98"/>
      <c r="G133" s="98"/>
      <c r="H133" s="98"/>
      <c r="I133" s="98"/>
      <c r="J133" s="98"/>
      <c r="K133" s="98"/>
      <c r="L133" s="9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</row>
    <row r="134" spans="1:25" x14ac:dyDescent="0.3">
      <c r="A134" s="98"/>
      <c r="B134" s="99"/>
      <c r="C134" s="99"/>
      <c r="D134" s="99"/>
      <c r="E134" s="99"/>
      <c r="F134" s="98"/>
      <c r="G134" s="98"/>
      <c r="H134" s="98"/>
      <c r="I134" s="98"/>
      <c r="J134" s="98"/>
      <c r="K134" s="98"/>
      <c r="L134" s="9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</row>
    <row r="135" spans="1:25" x14ac:dyDescent="0.3">
      <c r="A135" s="98"/>
      <c r="B135" s="99"/>
      <c r="C135" s="99"/>
      <c r="D135" s="99"/>
      <c r="E135" s="99"/>
      <c r="F135" s="98"/>
      <c r="G135" s="98"/>
      <c r="H135" s="98"/>
      <c r="I135" s="98"/>
      <c r="J135" s="98"/>
      <c r="K135" s="98"/>
      <c r="L135" s="9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</row>
    <row r="136" spans="1:25" x14ac:dyDescent="0.3">
      <c r="A136" s="98"/>
      <c r="B136" s="99"/>
      <c r="C136" s="99"/>
      <c r="D136" s="99"/>
      <c r="E136" s="99"/>
      <c r="F136" s="98"/>
      <c r="G136" s="98"/>
      <c r="H136" s="98"/>
      <c r="I136" s="98"/>
      <c r="J136" s="98"/>
      <c r="K136" s="98"/>
      <c r="L136" s="9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</row>
    <row r="137" spans="1:25" x14ac:dyDescent="0.3">
      <c r="A137" s="98"/>
      <c r="B137" s="99"/>
      <c r="C137" s="99"/>
      <c r="D137" s="99"/>
      <c r="E137" s="99"/>
      <c r="F137" s="98"/>
      <c r="G137" s="98"/>
      <c r="H137" s="98"/>
      <c r="I137" s="98"/>
      <c r="J137" s="98"/>
      <c r="K137" s="98"/>
      <c r="L137" s="9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</row>
    <row r="138" spans="1:25" x14ac:dyDescent="0.3">
      <c r="A138" s="98"/>
      <c r="B138" s="99"/>
      <c r="C138" s="99"/>
      <c r="D138" s="99"/>
      <c r="E138" s="99"/>
      <c r="F138" s="98"/>
      <c r="G138" s="98"/>
      <c r="H138" s="98"/>
      <c r="I138" s="98"/>
      <c r="J138" s="98"/>
      <c r="K138" s="98"/>
      <c r="L138" s="9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</row>
    <row r="139" spans="1:25" x14ac:dyDescent="0.3">
      <c r="A139" s="98"/>
      <c r="B139" s="99"/>
      <c r="C139" s="99"/>
      <c r="D139" s="99"/>
      <c r="E139" s="99"/>
      <c r="F139" s="98"/>
      <c r="G139" s="98"/>
      <c r="H139" s="98"/>
      <c r="I139" s="98"/>
      <c r="J139" s="98"/>
      <c r="K139" s="98"/>
      <c r="L139" s="9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</row>
    <row r="140" spans="1:25" x14ac:dyDescent="0.3">
      <c r="A140" s="98"/>
      <c r="B140" s="99"/>
      <c r="C140" s="99"/>
      <c r="D140" s="99"/>
      <c r="E140" s="99"/>
      <c r="F140" s="98"/>
      <c r="G140" s="98"/>
      <c r="H140" s="98"/>
      <c r="I140" s="98"/>
      <c r="J140" s="98"/>
      <c r="K140" s="98"/>
      <c r="L140" s="9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</row>
    <row r="141" spans="1:25" x14ac:dyDescent="0.3">
      <c r="A141" s="98"/>
      <c r="B141" s="99"/>
      <c r="C141" s="99"/>
      <c r="D141" s="99"/>
      <c r="E141" s="99"/>
      <c r="F141" s="98"/>
      <c r="G141" s="98"/>
      <c r="H141" s="98"/>
      <c r="I141" s="98"/>
      <c r="J141" s="98"/>
      <c r="K141" s="98"/>
      <c r="L141" s="9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</row>
    <row r="142" spans="1:25" x14ac:dyDescent="0.3">
      <c r="A142" s="98"/>
      <c r="B142" s="99"/>
      <c r="C142" s="99"/>
      <c r="D142" s="99"/>
      <c r="E142" s="99"/>
      <c r="F142" s="98"/>
      <c r="G142" s="98"/>
      <c r="H142" s="98"/>
      <c r="I142" s="98"/>
      <c r="J142" s="98"/>
      <c r="K142" s="98"/>
      <c r="L142" s="9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</row>
    <row r="143" spans="1:25" x14ac:dyDescent="0.3">
      <c r="A143" s="98"/>
      <c r="B143" s="99"/>
      <c r="C143" s="99"/>
      <c r="D143" s="99"/>
      <c r="E143" s="99"/>
      <c r="F143" s="98"/>
      <c r="G143" s="98"/>
      <c r="H143" s="98"/>
      <c r="I143" s="98"/>
      <c r="J143" s="98"/>
      <c r="K143" s="98"/>
      <c r="L143" s="9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</row>
    <row r="144" spans="1:25" x14ac:dyDescent="0.3">
      <c r="A144" s="98"/>
      <c r="B144" s="99"/>
      <c r="C144" s="99"/>
      <c r="D144" s="99"/>
      <c r="E144" s="99"/>
      <c r="F144" s="98"/>
      <c r="G144" s="98"/>
      <c r="H144" s="98"/>
      <c r="I144" s="98"/>
      <c r="J144" s="98"/>
      <c r="K144" s="98"/>
      <c r="L144" s="9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</row>
    <row r="145" spans="1:25" x14ac:dyDescent="0.3">
      <c r="A145" s="98"/>
      <c r="B145" s="99"/>
      <c r="C145" s="99"/>
      <c r="D145" s="99"/>
      <c r="E145" s="99"/>
      <c r="F145" s="98"/>
      <c r="G145" s="98"/>
      <c r="H145" s="98"/>
      <c r="I145" s="98"/>
      <c r="J145" s="98"/>
      <c r="K145" s="98"/>
      <c r="L145" s="9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</row>
    <row r="146" spans="1:25" x14ac:dyDescent="0.3">
      <c r="A146" s="98"/>
      <c r="B146" s="99"/>
      <c r="C146" s="99"/>
      <c r="D146" s="99"/>
      <c r="E146" s="99"/>
      <c r="F146" s="98"/>
      <c r="G146" s="98"/>
      <c r="H146" s="98"/>
      <c r="I146" s="98"/>
      <c r="J146" s="98"/>
      <c r="K146" s="98"/>
      <c r="L146" s="9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</row>
    <row r="147" spans="1:25" x14ac:dyDescent="0.3">
      <c r="A147" s="98"/>
      <c r="B147" s="99"/>
      <c r="C147" s="99"/>
      <c r="D147" s="99"/>
      <c r="E147" s="99"/>
      <c r="F147" s="98"/>
      <c r="G147" s="98"/>
      <c r="H147" s="98"/>
      <c r="I147" s="98"/>
      <c r="J147" s="98"/>
      <c r="K147" s="98"/>
      <c r="L147" s="9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</row>
    <row r="148" spans="1:25" x14ac:dyDescent="0.3">
      <c r="A148" s="98"/>
      <c r="B148" s="99"/>
      <c r="C148" s="99"/>
      <c r="D148" s="99"/>
      <c r="E148" s="99"/>
      <c r="F148" s="98"/>
      <c r="G148" s="98"/>
      <c r="H148" s="98"/>
      <c r="I148" s="98"/>
      <c r="J148" s="98"/>
      <c r="K148" s="98"/>
      <c r="L148" s="9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</row>
    <row r="149" spans="1:25" x14ac:dyDescent="0.3">
      <c r="A149" s="98"/>
      <c r="B149" s="99"/>
      <c r="C149" s="99"/>
      <c r="D149" s="99"/>
      <c r="E149" s="99"/>
      <c r="F149" s="98"/>
      <c r="G149" s="98"/>
      <c r="H149" s="98"/>
      <c r="I149" s="98"/>
      <c r="J149" s="98"/>
      <c r="K149" s="98"/>
      <c r="L149" s="9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</row>
    <row r="150" spans="1:25" x14ac:dyDescent="0.3">
      <c r="A150" s="98"/>
      <c r="B150" s="99"/>
      <c r="C150" s="99"/>
      <c r="D150" s="99"/>
      <c r="E150" s="99"/>
      <c r="F150" s="98"/>
      <c r="G150" s="98"/>
      <c r="H150" s="98"/>
      <c r="I150" s="98"/>
      <c r="J150" s="98"/>
      <c r="K150" s="98"/>
      <c r="L150" s="9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</row>
    <row r="151" spans="1:25" x14ac:dyDescent="0.3">
      <c r="A151" s="98"/>
      <c r="B151" s="99"/>
      <c r="C151" s="99"/>
      <c r="D151" s="99"/>
      <c r="E151" s="99"/>
      <c r="F151" s="98"/>
      <c r="G151" s="98"/>
      <c r="H151" s="98"/>
      <c r="I151" s="98"/>
      <c r="J151" s="98"/>
      <c r="K151" s="98"/>
      <c r="L151" s="9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</row>
    <row r="152" spans="1:25" x14ac:dyDescent="0.3">
      <c r="A152" s="98"/>
      <c r="B152" s="99"/>
      <c r="C152" s="99"/>
      <c r="D152" s="99"/>
      <c r="E152" s="99"/>
      <c r="F152" s="98"/>
      <c r="G152" s="98"/>
      <c r="H152" s="98"/>
      <c r="I152" s="98"/>
      <c r="J152" s="98"/>
      <c r="K152" s="98"/>
      <c r="L152" s="9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</row>
    <row r="153" spans="1:25" x14ac:dyDescent="0.3">
      <c r="A153" s="98"/>
      <c r="B153" s="99"/>
      <c r="C153" s="99"/>
      <c r="D153" s="99"/>
      <c r="E153" s="99"/>
      <c r="F153" s="98"/>
      <c r="G153" s="98"/>
      <c r="H153" s="98"/>
      <c r="I153" s="98"/>
      <c r="J153" s="98"/>
      <c r="K153" s="98"/>
      <c r="L153" s="9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</row>
    <row r="154" spans="1:25" x14ac:dyDescent="0.3">
      <c r="A154" s="98"/>
      <c r="B154" s="99"/>
      <c r="C154" s="99"/>
      <c r="D154" s="99"/>
      <c r="E154" s="99"/>
      <c r="F154" s="98"/>
      <c r="G154" s="98"/>
      <c r="H154" s="98"/>
      <c r="I154" s="98"/>
      <c r="J154" s="98"/>
      <c r="K154" s="98"/>
      <c r="L154" s="9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</row>
    <row r="155" spans="1:25" x14ac:dyDescent="0.3">
      <c r="A155" s="98"/>
      <c r="B155" s="99"/>
      <c r="C155" s="99"/>
      <c r="D155" s="99"/>
      <c r="E155" s="99"/>
      <c r="F155" s="98"/>
      <c r="G155" s="98"/>
      <c r="H155" s="98"/>
      <c r="I155" s="98"/>
      <c r="J155" s="98"/>
      <c r="K155" s="98"/>
      <c r="L155" s="9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</row>
    <row r="156" spans="1:25" x14ac:dyDescent="0.3">
      <c r="A156" s="98"/>
      <c r="B156" s="99"/>
      <c r="C156" s="99"/>
      <c r="D156" s="99"/>
      <c r="E156" s="99"/>
      <c r="F156" s="98"/>
      <c r="G156" s="98"/>
      <c r="H156" s="98"/>
      <c r="I156" s="98"/>
      <c r="J156" s="98"/>
      <c r="K156" s="98"/>
      <c r="L156" s="9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</row>
    <row r="157" spans="1:25" x14ac:dyDescent="0.3">
      <c r="A157" s="98"/>
      <c r="B157" s="99"/>
      <c r="C157" s="99"/>
      <c r="D157" s="99"/>
      <c r="E157" s="99"/>
      <c r="F157" s="98"/>
      <c r="G157" s="98"/>
      <c r="H157" s="98"/>
      <c r="I157" s="98"/>
      <c r="J157" s="98"/>
      <c r="K157" s="98"/>
      <c r="L157" s="9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</row>
    <row r="158" spans="1:25" x14ac:dyDescent="0.3">
      <c r="A158" s="98"/>
      <c r="B158" s="99"/>
      <c r="C158" s="99"/>
      <c r="D158" s="99"/>
      <c r="E158" s="99"/>
      <c r="F158" s="98"/>
      <c r="G158" s="98"/>
      <c r="H158" s="98"/>
      <c r="I158" s="98"/>
      <c r="J158" s="98"/>
      <c r="K158" s="98"/>
      <c r="L158" s="9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</row>
    <row r="159" spans="1:25" x14ac:dyDescent="0.3">
      <c r="A159" s="98"/>
      <c r="B159" s="99"/>
      <c r="C159" s="99"/>
      <c r="D159" s="99"/>
      <c r="E159" s="99"/>
      <c r="F159" s="98"/>
      <c r="G159" s="98"/>
      <c r="H159" s="98"/>
      <c r="I159" s="98"/>
      <c r="J159" s="98"/>
      <c r="K159" s="98"/>
      <c r="L159" s="9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</row>
    <row r="160" spans="1:25" x14ac:dyDescent="0.3">
      <c r="A160" s="98"/>
      <c r="B160" s="99"/>
      <c r="C160" s="99"/>
      <c r="D160" s="99"/>
      <c r="E160" s="99"/>
      <c r="F160" s="98"/>
      <c r="G160" s="98"/>
      <c r="H160" s="98"/>
      <c r="I160" s="98"/>
      <c r="J160" s="98"/>
      <c r="K160" s="98"/>
      <c r="L160" s="9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</row>
    <row r="161" spans="1:25" x14ac:dyDescent="0.3">
      <c r="A161" s="98"/>
      <c r="B161" s="99"/>
      <c r="C161" s="99"/>
      <c r="D161" s="99"/>
      <c r="E161" s="99"/>
      <c r="F161" s="98"/>
      <c r="G161" s="98"/>
      <c r="H161" s="98"/>
      <c r="I161" s="98"/>
      <c r="J161" s="98"/>
      <c r="K161" s="98"/>
      <c r="L161" s="9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</row>
    <row r="162" spans="1:25" x14ac:dyDescent="0.3">
      <c r="A162" s="98"/>
      <c r="B162" s="99"/>
      <c r="C162" s="99"/>
      <c r="D162" s="99"/>
      <c r="E162" s="99"/>
      <c r="F162" s="98"/>
      <c r="G162" s="98"/>
      <c r="H162" s="98"/>
      <c r="I162" s="98"/>
      <c r="J162" s="98"/>
      <c r="K162" s="98"/>
      <c r="L162" s="9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</row>
    <row r="163" spans="1:25" x14ac:dyDescent="0.3">
      <c r="A163" s="98"/>
      <c r="B163" s="99"/>
      <c r="C163" s="99"/>
      <c r="D163" s="99"/>
      <c r="E163" s="99"/>
      <c r="F163" s="98"/>
      <c r="G163" s="98"/>
      <c r="H163" s="98"/>
      <c r="I163" s="98"/>
      <c r="J163" s="98"/>
      <c r="K163" s="98"/>
      <c r="L163" s="9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</row>
    <row r="164" spans="1:25" x14ac:dyDescent="0.3">
      <c r="A164" s="98"/>
      <c r="B164" s="99"/>
      <c r="C164" s="99"/>
      <c r="D164" s="99"/>
      <c r="E164" s="99"/>
      <c r="F164" s="98"/>
      <c r="G164" s="98"/>
      <c r="H164" s="98"/>
      <c r="I164" s="98"/>
      <c r="J164" s="98"/>
      <c r="K164" s="98"/>
      <c r="L164" s="9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</row>
    <row r="165" spans="1:25" x14ac:dyDescent="0.3">
      <c r="A165" s="98"/>
      <c r="B165" s="99"/>
      <c r="C165" s="99"/>
      <c r="D165" s="99"/>
      <c r="E165" s="99"/>
      <c r="F165" s="98"/>
      <c r="G165" s="98"/>
      <c r="H165" s="98"/>
      <c r="I165" s="98"/>
      <c r="J165" s="98"/>
      <c r="K165" s="98"/>
      <c r="L165" s="9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</row>
    <row r="166" spans="1:25" x14ac:dyDescent="0.3">
      <c r="A166" s="98"/>
      <c r="B166" s="99"/>
      <c r="C166" s="99"/>
      <c r="D166" s="99"/>
      <c r="E166" s="99"/>
      <c r="F166" s="98"/>
      <c r="G166" s="98"/>
      <c r="H166" s="98"/>
      <c r="I166" s="98"/>
      <c r="J166" s="98"/>
      <c r="K166" s="98"/>
      <c r="L166" s="9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</row>
    <row r="167" spans="1:25" x14ac:dyDescent="0.3">
      <c r="A167" s="98"/>
      <c r="B167" s="99"/>
      <c r="C167" s="99"/>
      <c r="D167" s="99"/>
      <c r="E167" s="99"/>
      <c r="F167" s="98"/>
      <c r="G167" s="98"/>
      <c r="H167" s="98"/>
      <c r="I167" s="98"/>
      <c r="J167" s="98"/>
      <c r="K167" s="98"/>
      <c r="L167" s="9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5" x14ac:dyDescent="0.3">
      <c r="A168" s="98"/>
      <c r="B168" s="99"/>
      <c r="C168" s="99"/>
      <c r="D168" s="99"/>
      <c r="E168" s="99"/>
      <c r="F168" s="98"/>
      <c r="G168" s="98"/>
      <c r="H168" s="98"/>
      <c r="I168" s="98"/>
      <c r="J168" s="98"/>
      <c r="K168" s="98"/>
      <c r="L168" s="9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</row>
    <row r="169" spans="1:25" x14ac:dyDescent="0.3">
      <c r="A169" s="98"/>
      <c r="B169" s="99"/>
      <c r="C169" s="99"/>
      <c r="D169" s="99"/>
      <c r="E169" s="99"/>
      <c r="F169" s="98"/>
      <c r="G169" s="98"/>
      <c r="H169" s="98"/>
      <c r="I169" s="98"/>
      <c r="J169" s="98"/>
      <c r="K169" s="98"/>
      <c r="L169" s="9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</row>
    <row r="170" spans="1:25" x14ac:dyDescent="0.3">
      <c r="A170" s="98"/>
      <c r="B170" s="99"/>
      <c r="C170" s="99"/>
      <c r="D170" s="99"/>
      <c r="E170" s="99"/>
      <c r="F170" s="98"/>
      <c r="G170" s="98"/>
      <c r="H170" s="98"/>
      <c r="I170" s="98"/>
      <c r="J170" s="98"/>
      <c r="K170" s="98"/>
      <c r="L170" s="9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</row>
    <row r="171" spans="1:25" x14ac:dyDescent="0.3">
      <c r="A171" s="98"/>
      <c r="B171" s="99"/>
      <c r="C171" s="99"/>
      <c r="D171" s="99"/>
      <c r="E171" s="99"/>
      <c r="F171" s="98"/>
      <c r="G171" s="98"/>
      <c r="H171" s="98"/>
      <c r="I171" s="98"/>
      <c r="J171" s="98"/>
      <c r="K171" s="98"/>
      <c r="L171" s="9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</row>
    <row r="172" spans="1:25" x14ac:dyDescent="0.3">
      <c r="A172" s="98"/>
      <c r="B172" s="99"/>
      <c r="C172" s="99"/>
      <c r="D172" s="99"/>
      <c r="E172" s="99"/>
      <c r="F172" s="98"/>
      <c r="G172" s="98"/>
      <c r="H172" s="98"/>
      <c r="I172" s="98"/>
      <c r="J172" s="98"/>
      <c r="K172" s="98"/>
      <c r="L172" s="9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</row>
    <row r="173" spans="1:25" x14ac:dyDescent="0.3">
      <c r="A173" s="98"/>
      <c r="B173" s="99"/>
      <c r="C173" s="99"/>
      <c r="D173" s="99"/>
      <c r="E173" s="99"/>
      <c r="F173" s="98"/>
      <c r="G173" s="98"/>
      <c r="H173" s="98"/>
      <c r="I173" s="98"/>
      <c r="J173" s="98"/>
      <c r="K173" s="98"/>
      <c r="L173" s="9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</row>
    <row r="174" spans="1:25" x14ac:dyDescent="0.3">
      <c r="A174" s="98"/>
      <c r="B174" s="99"/>
      <c r="C174" s="99"/>
      <c r="D174" s="99"/>
      <c r="E174" s="99"/>
      <c r="F174" s="98"/>
      <c r="G174" s="98"/>
      <c r="H174" s="98"/>
      <c r="I174" s="98"/>
      <c r="J174" s="98"/>
      <c r="K174" s="98"/>
      <c r="L174" s="9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</row>
    <row r="175" spans="1:25" x14ac:dyDescent="0.3">
      <c r="A175" s="98"/>
      <c r="B175" s="99"/>
      <c r="C175" s="99"/>
      <c r="D175" s="99"/>
      <c r="E175" s="99"/>
      <c r="F175" s="98"/>
      <c r="G175" s="98"/>
      <c r="H175" s="98"/>
      <c r="I175" s="98"/>
      <c r="J175" s="98"/>
      <c r="K175" s="98"/>
      <c r="L175" s="9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</row>
    <row r="176" spans="1:25" x14ac:dyDescent="0.3">
      <c r="A176" s="98"/>
      <c r="B176" s="99"/>
      <c r="C176" s="99"/>
      <c r="D176" s="99"/>
      <c r="E176" s="99"/>
      <c r="F176" s="98"/>
      <c r="G176" s="98"/>
      <c r="H176" s="98"/>
      <c r="I176" s="98"/>
      <c r="J176" s="98"/>
      <c r="K176" s="98"/>
      <c r="L176" s="9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</row>
    <row r="177" spans="1:25" x14ac:dyDescent="0.3">
      <c r="A177" s="98"/>
      <c r="B177" s="99"/>
      <c r="C177" s="99"/>
      <c r="D177" s="99"/>
      <c r="E177" s="99"/>
      <c r="F177" s="98"/>
      <c r="G177" s="98"/>
      <c r="H177" s="98"/>
      <c r="I177" s="98"/>
      <c r="J177" s="98"/>
      <c r="K177" s="98"/>
      <c r="L177" s="9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</row>
    <row r="178" spans="1:25" x14ac:dyDescent="0.3">
      <c r="A178" s="98"/>
      <c r="B178" s="99"/>
      <c r="C178" s="99"/>
      <c r="D178" s="99"/>
      <c r="E178" s="99"/>
      <c r="F178" s="98"/>
      <c r="G178" s="98"/>
      <c r="H178" s="98"/>
      <c r="I178" s="98"/>
      <c r="J178" s="98"/>
      <c r="K178" s="98"/>
      <c r="L178" s="9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</row>
    <row r="179" spans="1:25" x14ac:dyDescent="0.3">
      <c r="A179" s="98"/>
      <c r="B179" s="99"/>
      <c r="C179" s="99"/>
      <c r="D179" s="99"/>
      <c r="E179" s="99"/>
      <c r="F179" s="98"/>
      <c r="G179" s="98"/>
      <c r="H179" s="98"/>
      <c r="I179" s="98"/>
      <c r="J179" s="98"/>
      <c r="K179" s="98"/>
      <c r="L179" s="9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</row>
    <row r="180" spans="1:25" x14ac:dyDescent="0.3">
      <c r="A180" s="98"/>
      <c r="B180" s="99"/>
      <c r="C180" s="99"/>
      <c r="D180" s="99"/>
      <c r="E180" s="99"/>
      <c r="F180" s="98"/>
      <c r="G180" s="98"/>
      <c r="H180" s="98"/>
      <c r="I180" s="98"/>
      <c r="J180" s="98"/>
      <c r="K180" s="98"/>
      <c r="L180" s="9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</row>
    <row r="181" spans="1:25" x14ac:dyDescent="0.3">
      <c r="A181" s="98"/>
      <c r="B181" s="99"/>
      <c r="C181" s="99"/>
      <c r="D181" s="99"/>
      <c r="E181" s="99"/>
      <c r="F181" s="98"/>
      <c r="G181" s="98"/>
      <c r="H181" s="98"/>
      <c r="I181" s="98"/>
      <c r="J181" s="98"/>
      <c r="K181" s="98"/>
      <c r="L181" s="9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</row>
    <row r="182" spans="1:25" x14ac:dyDescent="0.3">
      <c r="A182" s="98"/>
      <c r="B182" s="99"/>
      <c r="C182" s="99"/>
      <c r="D182" s="99"/>
      <c r="E182" s="99"/>
      <c r="F182" s="98"/>
      <c r="G182" s="98"/>
      <c r="H182" s="98"/>
      <c r="I182" s="98"/>
      <c r="J182" s="98"/>
      <c r="K182" s="98"/>
      <c r="L182" s="9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</row>
    <row r="183" spans="1:25" x14ac:dyDescent="0.3">
      <c r="A183" s="98"/>
      <c r="B183" s="99"/>
      <c r="C183" s="99"/>
      <c r="D183" s="99"/>
      <c r="E183" s="99"/>
      <c r="F183" s="98"/>
      <c r="G183" s="98"/>
      <c r="H183" s="98"/>
      <c r="I183" s="98"/>
      <c r="J183" s="98"/>
      <c r="K183" s="98"/>
      <c r="L183" s="9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</row>
    <row r="184" spans="1:25" x14ac:dyDescent="0.3">
      <c r="A184" s="98"/>
      <c r="B184" s="99"/>
      <c r="C184" s="99"/>
      <c r="D184" s="99"/>
      <c r="E184" s="99"/>
      <c r="F184" s="98"/>
      <c r="G184" s="98"/>
      <c r="H184" s="98"/>
      <c r="I184" s="98"/>
      <c r="J184" s="98"/>
      <c r="K184" s="98"/>
      <c r="L184" s="9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</row>
    <row r="185" spans="1:25" x14ac:dyDescent="0.3">
      <c r="A185" s="98"/>
      <c r="B185" s="99"/>
      <c r="C185" s="99"/>
      <c r="D185" s="99"/>
      <c r="E185" s="99"/>
      <c r="F185" s="98"/>
      <c r="G185" s="98"/>
      <c r="H185" s="98"/>
      <c r="I185" s="98"/>
      <c r="J185" s="98"/>
      <c r="K185" s="98"/>
      <c r="L185" s="9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</row>
    <row r="186" spans="1:25" x14ac:dyDescent="0.3">
      <c r="A186" s="98"/>
      <c r="B186" s="99"/>
      <c r="C186" s="99"/>
      <c r="D186" s="99"/>
      <c r="E186" s="99"/>
      <c r="F186" s="98"/>
      <c r="G186" s="98"/>
      <c r="H186" s="98"/>
      <c r="I186" s="98"/>
      <c r="J186" s="98"/>
      <c r="K186" s="98"/>
      <c r="L186" s="9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</row>
    <row r="187" spans="1:25" x14ac:dyDescent="0.3">
      <c r="A187" s="98"/>
      <c r="B187" s="99"/>
      <c r="C187" s="99"/>
      <c r="D187" s="99"/>
      <c r="E187" s="99"/>
      <c r="F187" s="98"/>
      <c r="G187" s="98"/>
      <c r="H187" s="98"/>
      <c r="I187" s="98"/>
      <c r="J187" s="98"/>
      <c r="K187" s="98"/>
      <c r="L187" s="9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</row>
    <row r="188" spans="1:25" x14ac:dyDescent="0.3">
      <c r="A188" s="98"/>
      <c r="B188" s="99"/>
      <c r="C188" s="99"/>
      <c r="D188" s="99"/>
      <c r="E188" s="99"/>
      <c r="F188" s="98"/>
      <c r="G188" s="98"/>
      <c r="H188" s="98"/>
      <c r="I188" s="98"/>
      <c r="J188" s="98"/>
      <c r="K188" s="98"/>
      <c r="L188" s="9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5" x14ac:dyDescent="0.3">
      <c r="A189" s="98"/>
      <c r="B189" s="99"/>
      <c r="C189" s="99"/>
      <c r="D189" s="99"/>
      <c r="E189" s="99"/>
      <c r="F189" s="98"/>
      <c r="G189" s="98"/>
      <c r="H189" s="98"/>
      <c r="I189" s="98"/>
      <c r="J189" s="98"/>
      <c r="K189" s="98"/>
      <c r="L189" s="9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</row>
    <row r="190" spans="1:25" x14ac:dyDescent="0.3">
      <c r="A190" s="98"/>
      <c r="B190" s="99"/>
      <c r="C190" s="99"/>
      <c r="D190" s="99"/>
      <c r="E190" s="99"/>
      <c r="F190" s="98"/>
      <c r="G190" s="98"/>
      <c r="H190" s="98"/>
      <c r="I190" s="98"/>
      <c r="J190" s="98"/>
      <c r="K190" s="98"/>
      <c r="L190" s="9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</row>
    <row r="191" spans="1:25" x14ac:dyDescent="0.3">
      <c r="A191" s="98"/>
      <c r="B191" s="99"/>
      <c r="C191" s="99"/>
      <c r="D191" s="99"/>
      <c r="E191" s="99"/>
      <c r="F191" s="98"/>
      <c r="G191" s="98"/>
      <c r="H191" s="98"/>
      <c r="I191" s="98"/>
      <c r="J191" s="98"/>
      <c r="K191" s="98"/>
      <c r="L191" s="9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</row>
    <row r="192" spans="1:25" x14ac:dyDescent="0.3">
      <c r="A192" s="98"/>
      <c r="B192" s="99"/>
      <c r="C192" s="99"/>
      <c r="D192" s="99"/>
      <c r="E192" s="99"/>
      <c r="F192" s="98"/>
      <c r="G192" s="98"/>
      <c r="H192" s="98"/>
      <c r="I192" s="98"/>
      <c r="J192" s="98"/>
      <c r="K192" s="98"/>
      <c r="L192" s="9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</row>
    <row r="193" spans="1:25" x14ac:dyDescent="0.3">
      <c r="A193" s="98"/>
      <c r="B193" s="99"/>
      <c r="C193" s="99"/>
      <c r="D193" s="99"/>
      <c r="E193" s="99"/>
      <c r="F193" s="98"/>
      <c r="G193" s="98"/>
      <c r="H193" s="98"/>
      <c r="I193" s="98"/>
      <c r="J193" s="98"/>
      <c r="K193" s="98"/>
      <c r="L193" s="9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</row>
    <row r="194" spans="1:25" x14ac:dyDescent="0.3">
      <c r="A194" s="98"/>
      <c r="B194" s="99"/>
      <c r="C194" s="99"/>
      <c r="D194" s="99"/>
      <c r="E194" s="99"/>
      <c r="F194" s="98"/>
      <c r="G194" s="98"/>
      <c r="H194" s="98"/>
      <c r="I194" s="98"/>
      <c r="J194" s="98"/>
      <c r="K194" s="98"/>
      <c r="L194" s="9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</row>
    <row r="195" spans="1:25" x14ac:dyDescent="0.3">
      <c r="A195" s="98"/>
      <c r="B195" s="99"/>
      <c r="C195" s="99"/>
      <c r="D195" s="99"/>
      <c r="E195" s="99"/>
      <c r="F195" s="98"/>
      <c r="G195" s="98"/>
      <c r="H195" s="98"/>
      <c r="I195" s="98"/>
      <c r="J195" s="98"/>
      <c r="K195" s="98"/>
      <c r="L195" s="9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</row>
    <row r="196" spans="1:25" x14ac:dyDescent="0.3">
      <c r="A196" s="98"/>
      <c r="B196" s="99"/>
      <c r="C196" s="99"/>
      <c r="D196" s="99"/>
      <c r="E196" s="99"/>
      <c r="F196" s="98"/>
      <c r="G196" s="98"/>
      <c r="H196" s="98"/>
      <c r="I196" s="98"/>
      <c r="J196" s="98"/>
      <c r="K196" s="98"/>
      <c r="L196" s="9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</row>
    <row r="197" spans="1:25" x14ac:dyDescent="0.3">
      <c r="A197" s="98"/>
      <c r="B197" s="99"/>
      <c r="C197" s="99"/>
      <c r="D197" s="99"/>
      <c r="E197" s="99"/>
      <c r="F197" s="98"/>
      <c r="G197" s="98"/>
      <c r="H197" s="98"/>
      <c r="I197" s="98"/>
      <c r="J197" s="98"/>
      <c r="K197" s="98"/>
      <c r="L197" s="9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</row>
    <row r="198" spans="1:25" x14ac:dyDescent="0.3">
      <c r="A198" s="98"/>
      <c r="B198" s="99"/>
      <c r="C198" s="99"/>
      <c r="D198" s="99"/>
      <c r="E198" s="99"/>
      <c r="F198" s="98"/>
      <c r="G198" s="98"/>
      <c r="H198" s="98"/>
      <c r="I198" s="98"/>
      <c r="J198" s="98"/>
      <c r="K198" s="98"/>
      <c r="L198" s="9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</row>
    <row r="199" spans="1:25" x14ac:dyDescent="0.3">
      <c r="A199" s="98"/>
      <c r="B199" s="99"/>
      <c r="C199" s="99"/>
      <c r="D199" s="99"/>
      <c r="E199" s="99"/>
      <c r="F199" s="98"/>
      <c r="G199" s="98"/>
      <c r="H199" s="98"/>
      <c r="I199" s="98"/>
      <c r="J199" s="98"/>
      <c r="K199" s="98"/>
      <c r="L199" s="9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</row>
    <row r="200" spans="1:25" x14ac:dyDescent="0.3">
      <c r="A200" s="98"/>
      <c r="B200" s="99"/>
      <c r="C200" s="99"/>
      <c r="D200" s="99"/>
      <c r="E200" s="99"/>
      <c r="F200" s="98"/>
      <c r="G200" s="98"/>
      <c r="H200" s="98"/>
      <c r="I200" s="98"/>
      <c r="J200" s="98"/>
      <c r="K200" s="98"/>
      <c r="L200" s="9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</row>
    <row r="201" spans="1:25" x14ac:dyDescent="0.3">
      <c r="A201" s="98"/>
      <c r="B201" s="99"/>
      <c r="C201" s="99"/>
      <c r="D201" s="99"/>
      <c r="E201" s="99"/>
      <c r="F201" s="98"/>
      <c r="G201" s="98"/>
      <c r="H201" s="98"/>
      <c r="I201" s="98"/>
      <c r="J201" s="98"/>
      <c r="K201" s="98"/>
      <c r="L201" s="9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</row>
    <row r="202" spans="1:25" x14ac:dyDescent="0.3">
      <c r="A202" s="98"/>
      <c r="B202" s="99"/>
      <c r="C202" s="99"/>
      <c r="D202" s="99"/>
      <c r="E202" s="99"/>
      <c r="F202" s="98"/>
      <c r="G202" s="98"/>
      <c r="H202" s="98"/>
      <c r="I202" s="98"/>
      <c r="J202" s="98"/>
      <c r="K202" s="98"/>
      <c r="L202" s="9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</row>
    <row r="203" spans="1:25" x14ac:dyDescent="0.3">
      <c r="A203" s="98"/>
      <c r="B203" s="99"/>
      <c r="C203" s="99"/>
      <c r="D203" s="99"/>
      <c r="E203" s="99"/>
      <c r="F203" s="98"/>
      <c r="G203" s="98"/>
      <c r="H203" s="98"/>
      <c r="I203" s="98"/>
      <c r="J203" s="98"/>
      <c r="K203" s="98"/>
      <c r="L203" s="9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</row>
    <row r="204" spans="1:25" x14ac:dyDescent="0.3">
      <c r="A204" s="98"/>
      <c r="B204" s="99"/>
      <c r="C204" s="99"/>
      <c r="D204" s="99"/>
      <c r="E204" s="99"/>
      <c r="F204" s="98"/>
      <c r="G204" s="98"/>
      <c r="H204" s="98"/>
      <c r="I204" s="98"/>
      <c r="J204" s="98"/>
      <c r="K204" s="98"/>
      <c r="L204" s="9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</row>
    <row r="205" spans="1:25" x14ac:dyDescent="0.3">
      <c r="A205" s="98"/>
      <c r="B205" s="99"/>
      <c r="C205" s="99"/>
      <c r="D205" s="99"/>
      <c r="E205" s="99"/>
      <c r="F205" s="98"/>
      <c r="G205" s="98"/>
      <c r="H205" s="98"/>
      <c r="I205" s="98"/>
      <c r="J205" s="98"/>
      <c r="K205" s="98"/>
      <c r="L205" s="9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</row>
    <row r="206" spans="1:25" x14ac:dyDescent="0.3">
      <c r="A206" s="98"/>
      <c r="B206" s="99"/>
      <c r="C206" s="99"/>
      <c r="D206" s="99"/>
      <c r="E206" s="99"/>
      <c r="F206" s="98"/>
      <c r="G206" s="98"/>
      <c r="H206" s="98"/>
      <c r="I206" s="98"/>
      <c r="J206" s="98"/>
      <c r="K206" s="98"/>
      <c r="L206" s="9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</row>
    <row r="207" spans="1:25" x14ac:dyDescent="0.3">
      <c r="A207" s="98"/>
      <c r="B207" s="99"/>
      <c r="C207" s="99"/>
      <c r="D207" s="99"/>
      <c r="E207" s="99"/>
      <c r="F207" s="98"/>
      <c r="G207" s="98"/>
      <c r="H207" s="98"/>
      <c r="I207" s="98"/>
      <c r="J207" s="98"/>
      <c r="K207" s="98"/>
      <c r="L207" s="9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</row>
    <row r="208" spans="1:25" x14ac:dyDescent="0.3">
      <c r="A208" s="98"/>
      <c r="B208" s="99"/>
      <c r="C208" s="99"/>
      <c r="D208" s="99"/>
      <c r="E208" s="99"/>
      <c r="F208" s="98"/>
      <c r="G208" s="98"/>
      <c r="H208" s="98"/>
      <c r="I208" s="98"/>
      <c r="J208" s="98"/>
      <c r="K208" s="98"/>
      <c r="L208" s="9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</row>
    <row r="209" spans="1:25" x14ac:dyDescent="0.3">
      <c r="A209" s="98"/>
      <c r="B209" s="99"/>
      <c r="C209" s="99"/>
      <c r="D209" s="99"/>
      <c r="E209" s="99"/>
      <c r="F209" s="98"/>
      <c r="G209" s="98"/>
      <c r="H209" s="98"/>
      <c r="I209" s="98"/>
      <c r="J209" s="98"/>
      <c r="K209" s="98"/>
      <c r="L209" s="9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</row>
    <row r="210" spans="1:25" x14ac:dyDescent="0.3">
      <c r="A210" s="98"/>
      <c r="B210" s="99"/>
      <c r="C210" s="99"/>
      <c r="D210" s="99"/>
      <c r="E210" s="99"/>
      <c r="F210" s="98"/>
      <c r="G210" s="98"/>
      <c r="H210" s="98"/>
      <c r="I210" s="98"/>
      <c r="J210" s="98"/>
      <c r="K210" s="98"/>
      <c r="L210" s="9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</row>
    <row r="211" spans="1:25" x14ac:dyDescent="0.3">
      <c r="A211" s="98"/>
      <c r="B211" s="99"/>
      <c r="C211" s="99"/>
      <c r="D211" s="99"/>
      <c r="E211" s="99"/>
      <c r="F211" s="98"/>
      <c r="G211" s="98"/>
      <c r="H211" s="98"/>
      <c r="I211" s="98"/>
      <c r="J211" s="98"/>
      <c r="K211" s="98"/>
      <c r="L211" s="9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</row>
    <row r="212" spans="1:25" x14ac:dyDescent="0.3">
      <c r="A212" s="98"/>
      <c r="B212" s="99"/>
      <c r="C212" s="99"/>
      <c r="D212" s="99"/>
      <c r="E212" s="99"/>
      <c r="F212" s="98"/>
      <c r="G212" s="98"/>
      <c r="H212" s="98"/>
      <c r="I212" s="98"/>
      <c r="J212" s="98"/>
      <c r="K212" s="98"/>
      <c r="L212" s="9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</row>
    <row r="213" spans="1:25" x14ac:dyDescent="0.3">
      <c r="A213" s="98"/>
      <c r="B213" s="99"/>
      <c r="C213" s="99"/>
      <c r="D213" s="99"/>
      <c r="E213" s="99"/>
      <c r="F213" s="98"/>
      <c r="G213" s="98"/>
      <c r="H213" s="98"/>
      <c r="I213" s="98"/>
      <c r="J213" s="98"/>
      <c r="K213" s="98"/>
      <c r="L213" s="9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</row>
    <row r="214" spans="1:25" x14ac:dyDescent="0.3">
      <c r="A214" s="98"/>
      <c r="B214" s="99"/>
      <c r="C214" s="99"/>
      <c r="D214" s="99"/>
      <c r="E214" s="99"/>
      <c r="F214" s="98"/>
      <c r="G214" s="98"/>
      <c r="H214" s="98"/>
      <c r="I214" s="98"/>
      <c r="J214" s="98"/>
      <c r="K214" s="98"/>
      <c r="L214" s="9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</row>
    <row r="215" spans="1:25" x14ac:dyDescent="0.3">
      <c r="A215" s="98"/>
      <c r="B215" s="99"/>
      <c r="C215" s="99"/>
      <c r="D215" s="99"/>
      <c r="E215" s="99"/>
      <c r="F215" s="98"/>
      <c r="G215" s="98"/>
      <c r="H215" s="98"/>
      <c r="I215" s="98"/>
      <c r="J215" s="98"/>
      <c r="K215" s="98"/>
      <c r="L215" s="9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</row>
    <row r="216" spans="1:25" x14ac:dyDescent="0.3">
      <c r="A216" s="98"/>
      <c r="B216" s="99"/>
      <c r="C216" s="99"/>
      <c r="D216" s="99"/>
      <c r="E216" s="99"/>
      <c r="F216" s="98"/>
      <c r="G216" s="98"/>
      <c r="H216" s="98"/>
      <c r="I216" s="98"/>
      <c r="J216" s="98"/>
      <c r="K216" s="98"/>
      <c r="L216" s="9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</row>
    <row r="217" spans="1:25" x14ac:dyDescent="0.3">
      <c r="A217" s="98"/>
      <c r="B217" s="99"/>
      <c r="C217" s="99"/>
      <c r="D217" s="99"/>
      <c r="E217" s="99"/>
      <c r="F217" s="98"/>
      <c r="G217" s="98"/>
      <c r="H217" s="98"/>
      <c r="I217" s="98"/>
      <c r="J217" s="98"/>
      <c r="K217" s="98"/>
      <c r="L217" s="9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</row>
    <row r="218" spans="1:25" x14ac:dyDescent="0.3">
      <c r="A218" s="98"/>
      <c r="B218" s="99"/>
      <c r="C218" s="99"/>
      <c r="D218" s="99"/>
      <c r="E218" s="99"/>
      <c r="F218" s="98"/>
      <c r="G218" s="98"/>
      <c r="H218" s="98"/>
      <c r="I218" s="98"/>
      <c r="J218" s="98"/>
      <c r="K218" s="98"/>
      <c r="L218" s="9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</row>
    <row r="219" spans="1:25" x14ac:dyDescent="0.3">
      <c r="A219" s="98"/>
      <c r="B219" s="99"/>
      <c r="C219" s="99"/>
      <c r="D219" s="99"/>
      <c r="E219" s="99"/>
      <c r="F219" s="98"/>
      <c r="G219" s="98"/>
      <c r="H219" s="98"/>
      <c r="I219" s="98"/>
      <c r="J219" s="98"/>
      <c r="K219" s="98"/>
      <c r="L219" s="9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</row>
    <row r="220" spans="1:25" x14ac:dyDescent="0.3">
      <c r="A220" s="98"/>
      <c r="B220" s="99"/>
      <c r="C220" s="99"/>
      <c r="D220" s="99"/>
      <c r="E220" s="99"/>
      <c r="F220" s="98"/>
      <c r="G220" s="98"/>
      <c r="H220" s="98"/>
      <c r="I220" s="98"/>
      <c r="J220" s="98"/>
      <c r="K220" s="98"/>
      <c r="L220" s="9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</row>
    <row r="221" spans="1:25" x14ac:dyDescent="0.3">
      <c r="A221" s="98"/>
      <c r="B221" s="99"/>
      <c r="C221" s="99"/>
      <c r="D221" s="99"/>
      <c r="E221" s="99"/>
      <c r="F221" s="98"/>
      <c r="G221" s="98"/>
      <c r="H221" s="98"/>
      <c r="I221" s="98"/>
      <c r="J221" s="98"/>
      <c r="K221" s="98"/>
      <c r="L221" s="9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</row>
    <row r="222" spans="1:25" x14ac:dyDescent="0.3">
      <c r="A222" s="98"/>
      <c r="B222" s="99"/>
      <c r="C222" s="99"/>
      <c r="D222" s="99"/>
      <c r="E222" s="99"/>
      <c r="F222" s="98"/>
      <c r="G222" s="98"/>
      <c r="H222" s="98"/>
      <c r="I222" s="98"/>
      <c r="J222" s="98"/>
      <c r="K222" s="98"/>
      <c r="L222" s="9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</row>
    <row r="223" spans="1:25" x14ac:dyDescent="0.3">
      <c r="A223" s="98"/>
      <c r="B223" s="99"/>
      <c r="C223" s="99"/>
      <c r="D223" s="99"/>
      <c r="E223" s="99"/>
      <c r="F223" s="98"/>
      <c r="G223" s="98"/>
      <c r="H223" s="98"/>
      <c r="I223" s="98"/>
      <c r="J223" s="98"/>
      <c r="K223" s="98"/>
      <c r="L223" s="9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</row>
    <row r="224" spans="1:25" x14ac:dyDescent="0.3">
      <c r="A224" s="98"/>
      <c r="B224" s="99"/>
      <c r="C224" s="99"/>
      <c r="D224" s="99"/>
      <c r="E224" s="99"/>
      <c r="F224" s="98"/>
      <c r="G224" s="98"/>
      <c r="H224" s="98"/>
      <c r="I224" s="98"/>
      <c r="J224" s="98"/>
      <c r="K224" s="98"/>
      <c r="L224" s="9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</row>
    <row r="225" spans="1:25" x14ac:dyDescent="0.3">
      <c r="A225" s="98"/>
      <c r="B225" s="99"/>
      <c r="C225" s="99"/>
      <c r="D225" s="99"/>
      <c r="E225" s="99"/>
      <c r="F225" s="98"/>
      <c r="G225" s="98"/>
      <c r="H225" s="98"/>
      <c r="I225" s="98"/>
      <c r="J225" s="98"/>
      <c r="K225" s="98"/>
      <c r="L225" s="9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</row>
    <row r="226" spans="1:25" x14ac:dyDescent="0.3">
      <c r="A226" s="98"/>
      <c r="B226" s="99"/>
      <c r="C226" s="99"/>
      <c r="D226" s="99"/>
      <c r="E226" s="99"/>
      <c r="F226" s="98"/>
      <c r="G226" s="98"/>
      <c r="H226" s="98"/>
      <c r="I226" s="98"/>
      <c r="J226" s="98"/>
      <c r="K226" s="98"/>
      <c r="L226" s="9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</row>
    <row r="227" spans="1:25" x14ac:dyDescent="0.3">
      <c r="A227" s="98"/>
      <c r="B227" s="99"/>
      <c r="C227" s="99"/>
      <c r="D227" s="99"/>
      <c r="E227" s="99"/>
      <c r="F227" s="98"/>
      <c r="G227" s="98"/>
      <c r="H227" s="98"/>
      <c r="I227" s="98"/>
      <c r="J227" s="98"/>
      <c r="K227" s="98"/>
      <c r="L227" s="9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</row>
    <row r="228" spans="1:25" x14ac:dyDescent="0.3">
      <c r="A228" s="98"/>
      <c r="B228" s="99"/>
      <c r="C228" s="99"/>
      <c r="D228" s="99"/>
      <c r="E228" s="99"/>
      <c r="F228" s="98"/>
      <c r="G228" s="98"/>
      <c r="H228" s="98"/>
      <c r="I228" s="98"/>
      <c r="J228" s="98"/>
      <c r="K228" s="98"/>
      <c r="L228" s="9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</row>
    <row r="229" spans="1:25" x14ac:dyDescent="0.3">
      <c r="A229" s="98"/>
      <c r="B229" s="99"/>
      <c r="C229" s="99"/>
      <c r="D229" s="99"/>
      <c r="E229" s="99"/>
      <c r="F229" s="98"/>
      <c r="G229" s="98"/>
      <c r="H229" s="98"/>
      <c r="I229" s="98"/>
      <c r="J229" s="98"/>
      <c r="K229" s="98"/>
      <c r="L229" s="9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</row>
    <row r="230" spans="1:25" x14ac:dyDescent="0.3">
      <c r="A230" s="98"/>
      <c r="B230" s="99"/>
      <c r="C230" s="99"/>
      <c r="D230" s="99"/>
      <c r="E230" s="99"/>
      <c r="F230" s="98"/>
      <c r="G230" s="98"/>
      <c r="H230" s="98"/>
      <c r="I230" s="98"/>
      <c r="J230" s="98"/>
      <c r="K230" s="98"/>
      <c r="L230" s="9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</row>
    <row r="231" spans="1:25" x14ac:dyDescent="0.3">
      <c r="A231" s="98"/>
      <c r="B231" s="99"/>
      <c r="C231" s="99"/>
      <c r="D231" s="99"/>
      <c r="E231" s="99"/>
      <c r="F231" s="98"/>
      <c r="G231" s="98"/>
      <c r="H231" s="98"/>
      <c r="I231" s="98"/>
      <c r="J231" s="98"/>
      <c r="K231" s="98"/>
      <c r="L231" s="9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</row>
    <row r="232" spans="1:25" x14ac:dyDescent="0.3">
      <c r="A232" s="98"/>
      <c r="B232" s="99"/>
      <c r="C232" s="99"/>
      <c r="D232" s="99"/>
      <c r="E232" s="99"/>
      <c r="F232" s="98"/>
      <c r="G232" s="98"/>
      <c r="H232" s="98"/>
      <c r="I232" s="98"/>
      <c r="J232" s="98"/>
      <c r="K232" s="98"/>
      <c r="L232" s="9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</row>
    <row r="233" spans="1:25" x14ac:dyDescent="0.3">
      <c r="A233" s="98"/>
      <c r="B233" s="99"/>
      <c r="C233" s="99"/>
      <c r="D233" s="99"/>
      <c r="E233" s="99"/>
      <c r="F233" s="98"/>
      <c r="G233" s="98"/>
      <c r="H233" s="98"/>
      <c r="I233" s="98"/>
      <c r="J233" s="98"/>
      <c r="K233" s="98"/>
      <c r="L233" s="9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</row>
    <row r="234" spans="1:25" x14ac:dyDescent="0.3">
      <c r="A234" s="98"/>
      <c r="B234" s="99"/>
      <c r="C234" s="99"/>
      <c r="D234" s="99"/>
      <c r="E234" s="99"/>
      <c r="F234" s="98"/>
      <c r="G234" s="98"/>
      <c r="H234" s="98"/>
      <c r="I234" s="98"/>
      <c r="J234" s="98"/>
      <c r="K234" s="98"/>
      <c r="L234" s="9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</row>
    <row r="235" spans="1:25" x14ac:dyDescent="0.3">
      <c r="A235" s="98"/>
      <c r="B235" s="99"/>
      <c r="C235" s="99"/>
      <c r="D235" s="99"/>
      <c r="E235" s="99"/>
      <c r="F235" s="98"/>
      <c r="G235" s="98"/>
      <c r="H235" s="98"/>
      <c r="I235" s="98"/>
      <c r="J235" s="98"/>
      <c r="K235" s="98"/>
      <c r="L235" s="9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</row>
    <row r="236" spans="1:25" x14ac:dyDescent="0.3">
      <c r="A236" s="98"/>
      <c r="B236" s="99"/>
      <c r="C236" s="99"/>
      <c r="D236" s="99"/>
      <c r="E236" s="99"/>
      <c r="F236" s="98"/>
      <c r="G236" s="98"/>
      <c r="H236" s="98"/>
      <c r="I236" s="98"/>
      <c r="J236" s="98"/>
      <c r="K236" s="98"/>
      <c r="L236" s="9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</row>
    <row r="237" spans="1:25" x14ac:dyDescent="0.3">
      <c r="A237" s="98"/>
      <c r="B237" s="99"/>
      <c r="C237" s="99"/>
      <c r="D237" s="99"/>
      <c r="E237" s="99"/>
      <c r="F237" s="98"/>
      <c r="G237" s="98"/>
      <c r="H237" s="98"/>
      <c r="I237" s="98"/>
      <c r="J237" s="98"/>
      <c r="K237" s="98"/>
      <c r="L237" s="9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</row>
    <row r="238" spans="1:25" x14ac:dyDescent="0.3">
      <c r="A238" s="98"/>
      <c r="B238" s="99"/>
      <c r="C238" s="99"/>
      <c r="D238" s="99"/>
      <c r="E238" s="99"/>
      <c r="F238" s="98"/>
      <c r="G238" s="98"/>
      <c r="H238" s="98"/>
      <c r="I238" s="98"/>
      <c r="J238" s="98"/>
      <c r="K238" s="98"/>
      <c r="L238" s="9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</row>
    <row r="239" spans="1:25" x14ac:dyDescent="0.3">
      <c r="A239" s="98"/>
      <c r="B239" s="99"/>
      <c r="C239" s="99"/>
      <c r="D239" s="99"/>
      <c r="E239" s="99"/>
      <c r="F239" s="98"/>
      <c r="G239" s="98"/>
      <c r="H239" s="98"/>
      <c r="I239" s="98"/>
      <c r="J239" s="98"/>
      <c r="K239" s="98"/>
      <c r="L239" s="9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</row>
    <row r="240" spans="1:25" x14ac:dyDescent="0.3">
      <c r="A240" s="98"/>
      <c r="B240" s="99"/>
      <c r="C240" s="99"/>
      <c r="D240" s="99"/>
      <c r="E240" s="99"/>
      <c r="F240" s="98"/>
      <c r="G240" s="98"/>
      <c r="H240" s="98"/>
      <c r="I240" s="98"/>
      <c r="J240" s="98"/>
      <c r="K240" s="98"/>
      <c r="L240" s="9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</row>
    <row r="241" spans="1:25" x14ac:dyDescent="0.3">
      <c r="A241" s="98"/>
      <c r="B241" s="99"/>
      <c r="C241" s="99"/>
      <c r="D241" s="99"/>
      <c r="E241" s="99"/>
      <c r="F241" s="98"/>
      <c r="G241" s="98"/>
      <c r="H241" s="98"/>
      <c r="I241" s="98"/>
      <c r="J241" s="98"/>
      <c r="K241" s="98"/>
      <c r="L241" s="9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</row>
    <row r="242" spans="1:25" x14ac:dyDescent="0.3">
      <c r="A242" s="98"/>
      <c r="B242" s="99"/>
      <c r="C242" s="99"/>
      <c r="D242" s="99"/>
      <c r="E242" s="99"/>
      <c r="F242" s="98"/>
      <c r="G242" s="98"/>
      <c r="H242" s="98"/>
      <c r="I242" s="98"/>
      <c r="J242" s="98"/>
      <c r="K242" s="98"/>
      <c r="L242" s="9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</row>
    <row r="243" spans="1:25" x14ac:dyDescent="0.3">
      <c r="A243" s="98"/>
      <c r="B243" s="99"/>
      <c r="C243" s="99"/>
      <c r="D243" s="99"/>
      <c r="E243" s="99"/>
      <c r="F243" s="98"/>
      <c r="G243" s="98"/>
      <c r="H243" s="98"/>
      <c r="I243" s="98"/>
      <c r="J243" s="98"/>
      <c r="K243" s="98"/>
      <c r="L243" s="9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</row>
    <row r="244" spans="1:25" x14ac:dyDescent="0.3">
      <c r="A244" s="98"/>
      <c r="B244" s="99"/>
      <c r="C244" s="99"/>
      <c r="D244" s="99"/>
      <c r="E244" s="99"/>
      <c r="F244" s="98"/>
      <c r="G244" s="98"/>
      <c r="H244" s="98"/>
      <c r="I244" s="98"/>
      <c r="J244" s="98"/>
      <c r="K244" s="98"/>
      <c r="L244" s="9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</row>
    <row r="245" spans="1:25" x14ac:dyDescent="0.3">
      <c r="A245" s="98"/>
      <c r="B245" s="99"/>
      <c r="C245" s="99"/>
      <c r="D245" s="99"/>
      <c r="E245" s="99"/>
      <c r="F245" s="98"/>
      <c r="G245" s="98"/>
      <c r="H245" s="98"/>
      <c r="I245" s="98"/>
      <c r="J245" s="98"/>
      <c r="K245" s="98"/>
      <c r="L245" s="9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</row>
    <row r="246" spans="1:25" x14ac:dyDescent="0.3">
      <c r="A246" s="98"/>
      <c r="B246" s="99"/>
      <c r="C246" s="99"/>
      <c r="D246" s="99"/>
      <c r="E246" s="99"/>
      <c r="F246" s="98"/>
      <c r="G246" s="98"/>
      <c r="H246" s="98"/>
      <c r="I246" s="98"/>
      <c r="J246" s="98"/>
      <c r="K246" s="98"/>
      <c r="L246" s="9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</row>
    <row r="247" spans="1:25" x14ac:dyDescent="0.3">
      <c r="A247" s="98"/>
      <c r="B247" s="99"/>
      <c r="C247" s="99"/>
      <c r="D247" s="99"/>
      <c r="E247" s="99"/>
      <c r="F247" s="98"/>
      <c r="G247" s="98"/>
      <c r="H247" s="98"/>
      <c r="I247" s="98"/>
      <c r="J247" s="98"/>
      <c r="K247" s="98"/>
      <c r="L247" s="9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</row>
    <row r="248" spans="1:25" x14ac:dyDescent="0.3">
      <c r="A248" s="98"/>
      <c r="B248" s="99"/>
      <c r="C248" s="99"/>
      <c r="D248" s="99"/>
      <c r="E248" s="99"/>
      <c r="F248" s="98"/>
      <c r="G248" s="98"/>
      <c r="H248" s="98"/>
      <c r="I248" s="98"/>
      <c r="J248" s="98"/>
      <c r="K248" s="98"/>
      <c r="L248" s="9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</row>
    <row r="249" spans="1:25" x14ac:dyDescent="0.3">
      <c r="A249" s="98"/>
      <c r="B249" s="99"/>
      <c r="C249" s="99"/>
      <c r="D249" s="99"/>
      <c r="E249" s="99"/>
      <c r="F249" s="98"/>
      <c r="G249" s="98"/>
      <c r="H249" s="98"/>
      <c r="I249" s="98"/>
      <c r="J249" s="98"/>
      <c r="K249" s="98"/>
      <c r="L249" s="9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</row>
    <row r="250" spans="1:25" x14ac:dyDescent="0.3">
      <c r="A250" s="98"/>
      <c r="B250" s="99"/>
      <c r="C250" s="99"/>
      <c r="D250" s="99"/>
      <c r="E250" s="99"/>
      <c r="F250" s="98"/>
      <c r="G250" s="98"/>
      <c r="H250" s="98"/>
      <c r="I250" s="98"/>
      <c r="J250" s="98"/>
      <c r="K250" s="98"/>
      <c r="L250" s="9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</row>
    <row r="251" spans="1:25" x14ac:dyDescent="0.3">
      <c r="A251" s="98"/>
      <c r="B251" s="99"/>
      <c r="C251" s="99"/>
      <c r="D251" s="99"/>
      <c r="E251" s="99"/>
      <c r="F251" s="98"/>
      <c r="G251" s="98"/>
      <c r="H251" s="98"/>
      <c r="I251" s="98"/>
      <c r="J251" s="98"/>
      <c r="K251" s="98"/>
      <c r="L251" s="9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</row>
    <row r="252" spans="1:25" x14ac:dyDescent="0.3">
      <c r="A252" s="98"/>
      <c r="B252" s="99"/>
      <c r="C252" s="99"/>
      <c r="D252" s="99"/>
      <c r="E252" s="99"/>
      <c r="F252" s="98"/>
      <c r="G252" s="98"/>
      <c r="H252" s="98"/>
      <c r="I252" s="98"/>
      <c r="J252" s="98"/>
      <c r="K252" s="98"/>
      <c r="L252" s="9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</row>
    <row r="253" spans="1:25" x14ac:dyDescent="0.3">
      <c r="A253" s="98"/>
      <c r="B253" s="99"/>
      <c r="C253" s="99"/>
      <c r="D253" s="99"/>
      <c r="E253" s="99"/>
      <c r="F253" s="98"/>
      <c r="G253" s="98"/>
      <c r="H253" s="98"/>
      <c r="I253" s="98"/>
      <c r="J253" s="98"/>
      <c r="K253" s="98"/>
      <c r="L253" s="9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</row>
    <row r="254" spans="1:25" x14ac:dyDescent="0.3">
      <c r="A254" s="98"/>
      <c r="B254" s="99"/>
      <c r="C254" s="99"/>
      <c r="D254" s="99"/>
      <c r="E254" s="99"/>
      <c r="F254" s="98"/>
      <c r="G254" s="98"/>
      <c r="H254" s="98"/>
      <c r="I254" s="98"/>
      <c r="J254" s="98"/>
      <c r="K254" s="98"/>
      <c r="L254" s="9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</row>
    <row r="255" spans="1:25" x14ac:dyDescent="0.3">
      <c r="A255" s="98"/>
      <c r="B255" s="99"/>
      <c r="C255" s="99"/>
      <c r="D255" s="99"/>
      <c r="E255" s="99"/>
      <c r="F255" s="98"/>
      <c r="G255" s="98"/>
      <c r="H255" s="98"/>
      <c r="I255" s="98"/>
      <c r="J255" s="98"/>
      <c r="K255" s="98"/>
      <c r="L255" s="9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</row>
    <row r="256" spans="1:25" x14ac:dyDescent="0.3">
      <c r="A256" s="98"/>
      <c r="B256" s="99"/>
      <c r="C256" s="99"/>
      <c r="D256" s="99"/>
      <c r="E256" s="99"/>
      <c r="F256" s="98"/>
      <c r="G256" s="98"/>
      <c r="H256" s="98"/>
      <c r="I256" s="98"/>
      <c r="J256" s="98"/>
      <c r="K256" s="98"/>
      <c r="L256" s="9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</row>
    <row r="257" spans="1:25" x14ac:dyDescent="0.3">
      <c r="A257" s="98"/>
      <c r="B257" s="99"/>
      <c r="C257" s="99"/>
      <c r="D257" s="99"/>
      <c r="E257" s="99"/>
      <c r="F257" s="98"/>
      <c r="G257" s="98"/>
      <c r="H257" s="98"/>
      <c r="I257" s="98"/>
      <c r="J257" s="98"/>
      <c r="K257" s="98"/>
      <c r="L257" s="9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</row>
    <row r="258" spans="1:25" x14ac:dyDescent="0.3">
      <c r="A258" s="98"/>
      <c r="B258" s="99"/>
      <c r="C258" s="99"/>
      <c r="D258" s="99"/>
      <c r="E258" s="99"/>
      <c r="F258" s="98"/>
      <c r="G258" s="98"/>
      <c r="H258" s="98"/>
      <c r="I258" s="98"/>
      <c r="J258" s="98"/>
      <c r="K258" s="98"/>
      <c r="L258" s="9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</row>
    <row r="259" spans="1:25" x14ac:dyDescent="0.3">
      <c r="A259" s="98"/>
      <c r="B259" s="99"/>
      <c r="C259" s="99"/>
      <c r="D259" s="99"/>
      <c r="E259" s="99"/>
      <c r="F259" s="98"/>
      <c r="G259" s="98"/>
      <c r="H259" s="98"/>
      <c r="I259" s="98"/>
      <c r="J259" s="98"/>
      <c r="K259" s="98"/>
      <c r="L259" s="9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</row>
    <row r="260" spans="1:25" x14ac:dyDescent="0.3">
      <c r="A260" s="98"/>
      <c r="B260" s="99"/>
      <c r="C260" s="99"/>
      <c r="D260" s="99"/>
      <c r="E260" s="99"/>
      <c r="F260" s="98"/>
      <c r="G260" s="98"/>
      <c r="H260" s="98"/>
      <c r="I260" s="98"/>
      <c r="J260" s="98"/>
      <c r="K260" s="98"/>
      <c r="L260" s="9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</row>
    <row r="261" spans="1:25" x14ac:dyDescent="0.3">
      <c r="A261" s="98"/>
      <c r="B261" s="99"/>
      <c r="C261" s="99"/>
      <c r="D261" s="99"/>
      <c r="E261" s="99"/>
      <c r="F261" s="98"/>
      <c r="G261" s="98"/>
      <c r="H261" s="98"/>
      <c r="I261" s="98"/>
      <c r="J261" s="98"/>
      <c r="K261" s="98"/>
      <c r="L261" s="9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</row>
    <row r="262" spans="1:25" x14ac:dyDescent="0.3">
      <c r="A262" s="98"/>
      <c r="B262" s="99"/>
      <c r="C262" s="99"/>
      <c r="D262" s="99"/>
      <c r="E262" s="99"/>
      <c r="F262" s="98"/>
      <c r="G262" s="98"/>
      <c r="H262" s="98"/>
      <c r="I262" s="98"/>
      <c r="J262" s="98"/>
      <c r="K262" s="98"/>
      <c r="L262" s="9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</row>
    <row r="263" spans="1:25" x14ac:dyDescent="0.3">
      <c r="A263" s="98"/>
      <c r="B263" s="99"/>
      <c r="C263" s="99"/>
      <c r="D263" s="99"/>
      <c r="E263" s="99"/>
      <c r="F263" s="98"/>
      <c r="G263" s="98"/>
      <c r="H263" s="98"/>
      <c r="I263" s="98"/>
      <c r="J263" s="98"/>
      <c r="K263" s="98"/>
      <c r="L263" s="9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</row>
    <row r="264" spans="1:25" x14ac:dyDescent="0.3">
      <c r="A264" s="98"/>
      <c r="B264" s="99"/>
      <c r="C264" s="99"/>
      <c r="D264" s="99"/>
      <c r="E264" s="99"/>
      <c r="F264" s="98"/>
      <c r="G264" s="98"/>
      <c r="H264" s="98"/>
      <c r="I264" s="98"/>
      <c r="J264" s="98"/>
      <c r="K264" s="98"/>
      <c r="L264" s="9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</row>
    <row r="265" spans="1:25" x14ac:dyDescent="0.3">
      <c r="A265" s="98"/>
      <c r="B265" s="99"/>
      <c r="C265" s="99"/>
      <c r="D265" s="99"/>
      <c r="E265" s="99"/>
      <c r="F265" s="98"/>
      <c r="G265" s="98"/>
      <c r="H265" s="98"/>
      <c r="I265" s="98"/>
      <c r="J265" s="98"/>
      <c r="K265" s="98"/>
      <c r="L265" s="9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</row>
    <row r="266" spans="1:25" x14ac:dyDescent="0.3">
      <c r="A266" s="98"/>
      <c r="B266" s="99"/>
      <c r="C266" s="99"/>
      <c r="D266" s="99"/>
      <c r="E266" s="99"/>
      <c r="F266" s="98"/>
      <c r="G266" s="98"/>
      <c r="H266" s="98"/>
      <c r="I266" s="98"/>
      <c r="J266" s="98"/>
      <c r="K266" s="98"/>
      <c r="L266" s="9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</row>
    <row r="267" spans="1:25" x14ac:dyDescent="0.3">
      <c r="A267" s="98"/>
      <c r="B267" s="99"/>
      <c r="C267" s="99"/>
      <c r="D267" s="99"/>
      <c r="E267" s="99"/>
      <c r="F267" s="98"/>
      <c r="G267" s="98"/>
      <c r="H267" s="98"/>
      <c r="I267" s="98"/>
      <c r="J267" s="98"/>
      <c r="K267" s="98"/>
      <c r="L267" s="9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</row>
    <row r="268" spans="1:25" x14ac:dyDescent="0.3">
      <c r="A268" s="98"/>
      <c r="B268" s="99"/>
      <c r="C268" s="99"/>
      <c r="D268" s="99"/>
      <c r="E268" s="99"/>
      <c r="F268" s="98"/>
      <c r="G268" s="98"/>
      <c r="H268" s="98"/>
      <c r="I268" s="98"/>
      <c r="J268" s="98"/>
      <c r="K268" s="98"/>
      <c r="L268" s="9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</row>
    <row r="269" spans="1:25" x14ac:dyDescent="0.3">
      <c r="A269" s="98"/>
      <c r="B269" s="99"/>
      <c r="C269" s="99"/>
      <c r="D269" s="99"/>
      <c r="E269" s="99"/>
      <c r="F269" s="98"/>
      <c r="G269" s="98"/>
      <c r="H269" s="98"/>
      <c r="I269" s="98"/>
      <c r="J269" s="98"/>
      <c r="K269" s="98"/>
      <c r="L269" s="9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</row>
    <row r="270" spans="1:25" x14ac:dyDescent="0.3">
      <c r="A270" s="98"/>
      <c r="B270" s="99"/>
      <c r="C270" s="99"/>
      <c r="D270" s="99"/>
      <c r="E270" s="99"/>
      <c r="F270" s="98"/>
      <c r="G270" s="98"/>
      <c r="H270" s="98"/>
      <c r="I270" s="98"/>
      <c r="J270" s="98"/>
      <c r="K270" s="98"/>
      <c r="L270" s="9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</row>
    <row r="271" spans="1:25" x14ac:dyDescent="0.3">
      <c r="A271" s="98"/>
      <c r="B271" s="99"/>
      <c r="C271" s="99"/>
      <c r="D271" s="99"/>
      <c r="E271" s="99"/>
      <c r="F271" s="98"/>
      <c r="G271" s="98"/>
      <c r="H271" s="98"/>
      <c r="I271" s="98"/>
      <c r="J271" s="98"/>
      <c r="K271" s="98"/>
      <c r="L271" s="9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</row>
    <row r="272" spans="1:25" x14ac:dyDescent="0.3">
      <c r="A272" s="98"/>
      <c r="B272" s="99"/>
      <c r="C272" s="99"/>
      <c r="D272" s="99"/>
      <c r="E272" s="99"/>
      <c r="F272" s="98"/>
      <c r="G272" s="98"/>
      <c r="H272" s="98"/>
      <c r="I272" s="98"/>
      <c r="J272" s="98"/>
      <c r="K272" s="98"/>
      <c r="L272" s="9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</row>
    <row r="273" spans="1:25" x14ac:dyDescent="0.3">
      <c r="A273" s="98"/>
      <c r="B273" s="99"/>
      <c r="C273" s="99"/>
      <c r="D273" s="99"/>
      <c r="E273" s="99"/>
      <c r="F273" s="98"/>
      <c r="G273" s="98"/>
      <c r="H273" s="98"/>
      <c r="I273" s="98"/>
      <c r="J273" s="98"/>
      <c r="K273" s="98"/>
      <c r="L273" s="9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</row>
    <row r="274" spans="1:25" x14ac:dyDescent="0.3">
      <c r="A274" s="98"/>
      <c r="B274" s="99"/>
      <c r="C274" s="99"/>
      <c r="D274" s="99"/>
      <c r="E274" s="99"/>
      <c r="F274" s="98"/>
      <c r="G274" s="98"/>
      <c r="H274" s="98"/>
      <c r="I274" s="98"/>
      <c r="J274" s="98"/>
      <c r="K274" s="98"/>
      <c r="L274" s="9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</row>
    <row r="275" spans="1:25" x14ac:dyDescent="0.3">
      <c r="A275" s="98"/>
      <c r="B275" s="99"/>
      <c r="C275" s="99"/>
      <c r="D275" s="99"/>
      <c r="E275" s="99"/>
      <c r="F275" s="98"/>
      <c r="G275" s="98"/>
      <c r="H275" s="98"/>
      <c r="I275" s="98"/>
      <c r="J275" s="98"/>
      <c r="K275" s="98"/>
      <c r="L275" s="9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</row>
    <row r="276" spans="1:25" x14ac:dyDescent="0.3">
      <c r="A276" s="98"/>
      <c r="B276" s="99"/>
      <c r="C276" s="99"/>
      <c r="D276" s="99"/>
      <c r="E276" s="99"/>
      <c r="F276" s="98"/>
      <c r="G276" s="98"/>
      <c r="H276" s="98"/>
      <c r="I276" s="98"/>
      <c r="J276" s="98"/>
      <c r="K276" s="98"/>
      <c r="L276" s="9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</row>
    <row r="277" spans="1:25" x14ac:dyDescent="0.3">
      <c r="A277" s="98"/>
      <c r="B277" s="99"/>
      <c r="C277" s="99"/>
      <c r="D277" s="99"/>
      <c r="E277" s="99"/>
      <c r="F277" s="98"/>
      <c r="G277" s="98"/>
      <c r="H277" s="98"/>
      <c r="I277" s="98"/>
      <c r="J277" s="98"/>
      <c r="K277" s="98"/>
      <c r="L277" s="9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</row>
    <row r="278" spans="1:25" x14ac:dyDescent="0.3">
      <c r="A278" s="98"/>
      <c r="B278" s="99"/>
      <c r="C278" s="99"/>
      <c r="D278" s="99"/>
      <c r="E278" s="99"/>
      <c r="F278" s="98"/>
      <c r="G278" s="98"/>
      <c r="H278" s="98"/>
      <c r="I278" s="98"/>
      <c r="J278" s="98"/>
      <c r="K278" s="98"/>
      <c r="L278" s="9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</row>
    <row r="279" spans="1:25" x14ac:dyDescent="0.3">
      <c r="A279" s="98"/>
      <c r="B279" s="99"/>
      <c r="C279" s="99"/>
      <c r="D279" s="99"/>
      <c r="E279" s="99"/>
      <c r="F279" s="98"/>
      <c r="G279" s="98"/>
      <c r="H279" s="98"/>
      <c r="I279" s="98"/>
      <c r="J279" s="98"/>
      <c r="K279" s="98"/>
      <c r="L279" s="9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</row>
    <row r="280" spans="1:25" x14ac:dyDescent="0.3">
      <c r="A280" s="98"/>
      <c r="B280" s="99"/>
      <c r="C280" s="99"/>
      <c r="D280" s="99"/>
      <c r="E280" s="99"/>
      <c r="F280" s="98"/>
      <c r="G280" s="98"/>
      <c r="H280" s="98"/>
      <c r="I280" s="98"/>
      <c r="J280" s="98"/>
      <c r="K280" s="98"/>
      <c r="L280" s="9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</row>
    <row r="281" spans="1:25" x14ac:dyDescent="0.3">
      <c r="A281" s="98"/>
      <c r="B281" s="99"/>
      <c r="C281" s="99"/>
      <c r="D281" s="99"/>
      <c r="E281" s="99"/>
      <c r="F281" s="98"/>
      <c r="G281" s="98"/>
      <c r="H281" s="98"/>
      <c r="I281" s="98"/>
      <c r="J281" s="98"/>
      <c r="K281" s="98"/>
      <c r="L281" s="9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</row>
    <row r="282" spans="1:25" x14ac:dyDescent="0.3">
      <c r="A282" s="98"/>
      <c r="B282" s="99"/>
      <c r="C282" s="99"/>
      <c r="D282" s="99"/>
      <c r="E282" s="99"/>
      <c r="F282" s="98"/>
      <c r="G282" s="98"/>
      <c r="H282" s="98"/>
      <c r="I282" s="98"/>
      <c r="J282" s="98"/>
      <c r="K282" s="98"/>
      <c r="L282" s="9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</row>
    <row r="283" spans="1:25" x14ac:dyDescent="0.3">
      <c r="A283" s="98"/>
      <c r="B283" s="99"/>
      <c r="C283" s="99"/>
      <c r="D283" s="99"/>
      <c r="E283" s="99"/>
      <c r="F283" s="98"/>
      <c r="G283" s="98"/>
      <c r="H283" s="98"/>
      <c r="I283" s="98"/>
      <c r="J283" s="98"/>
      <c r="K283" s="98"/>
      <c r="L283" s="9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</row>
    <row r="284" spans="1:25" x14ac:dyDescent="0.3">
      <c r="A284" s="98"/>
      <c r="B284" s="99"/>
      <c r="C284" s="99"/>
      <c r="D284" s="99"/>
      <c r="E284" s="99"/>
      <c r="F284" s="98"/>
      <c r="G284" s="98"/>
      <c r="H284" s="98"/>
      <c r="I284" s="98"/>
      <c r="J284" s="98"/>
      <c r="K284" s="98"/>
      <c r="L284" s="9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</row>
    <row r="285" spans="1:25" x14ac:dyDescent="0.3">
      <c r="A285" s="98"/>
      <c r="B285" s="99"/>
      <c r="C285" s="99"/>
      <c r="D285" s="99"/>
      <c r="E285" s="99"/>
      <c r="F285" s="98"/>
      <c r="G285" s="98"/>
      <c r="H285" s="98"/>
      <c r="I285" s="98"/>
      <c r="J285" s="98"/>
      <c r="K285" s="98"/>
      <c r="L285" s="9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</row>
    <row r="286" spans="1:25" x14ac:dyDescent="0.3">
      <c r="A286" s="98"/>
      <c r="B286" s="99"/>
      <c r="C286" s="99"/>
      <c r="D286" s="99"/>
      <c r="E286" s="99"/>
      <c r="F286" s="98"/>
      <c r="G286" s="98"/>
      <c r="H286" s="98"/>
      <c r="I286" s="98"/>
      <c r="J286" s="98"/>
      <c r="K286" s="98"/>
      <c r="L286" s="9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</row>
    <row r="287" spans="1:25" x14ac:dyDescent="0.3">
      <c r="A287" s="98"/>
      <c r="B287" s="99"/>
      <c r="C287" s="99"/>
      <c r="D287" s="99"/>
      <c r="E287" s="99"/>
      <c r="F287" s="98"/>
      <c r="G287" s="98"/>
      <c r="H287" s="98"/>
      <c r="I287" s="98"/>
      <c r="J287" s="98"/>
      <c r="K287" s="98"/>
      <c r="L287" s="9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</row>
    <row r="288" spans="1:25" x14ac:dyDescent="0.3">
      <c r="A288" s="98"/>
      <c r="B288" s="99"/>
      <c r="C288" s="99"/>
      <c r="D288" s="99"/>
      <c r="E288" s="99"/>
      <c r="F288" s="98"/>
      <c r="G288" s="98"/>
      <c r="H288" s="98"/>
      <c r="I288" s="98"/>
      <c r="J288" s="98"/>
      <c r="K288" s="98"/>
      <c r="L288" s="9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</row>
    <row r="289" spans="1:25" x14ac:dyDescent="0.3">
      <c r="A289" s="98"/>
      <c r="B289" s="99"/>
      <c r="C289" s="99"/>
      <c r="D289" s="99"/>
      <c r="E289" s="99"/>
      <c r="F289" s="98"/>
      <c r="G289" s="98"/>
      <c r="H289" s="98"/>
      <c r="I289" s="98"/>
      <c r="J289" s="98"/>
      <c r="K289" s="98"/>
      <c r="L289" s="9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</row>
    <row r="290" spans="1:25" x14ac:dyDescent="0.3">
      <c r="A290" s="98"/>
      <c r="B290" s="99"/>
      <c r="C290" s="99"/>
      <c r="D290" s="99"/>
      <c r="E290" s="99"/>
      <c r="F290" s="98"/>
      <c r="G290" s="98"/>
      <c r="H290" s="98"/>
      <c r="I290" s="98"/>
      <c r="J290" s="98"/>
      <c r="K290" s="98"/>
      <c r="L290" s="9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</row>
    <row r="291" spans="1:25" x14ac:dyDescent="0.3">
      <c r="A291" s="98"/>
      <c r="B291" s="99"/>
      <c r="C291" s="99"/>
      <c r="D291" s="99"/>
      <c r="E291" s="99"/>
      <c r="F291" s="98"/>
      <c r="G291" s="98"/>
      <c r="H291" s="98"/>
      <c r="I291" s="98"/>
      <c r="J291" s="98"/>
      <c r="K291" s="98"/>
      <c r="L291" s="9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</row>
    <row r="292" spans="1:25" x14ac:dyDescent="0.3">
      <c r="A292" s="98"/>
      <c r="B292" s="99"/>
      <c r="C292" s="99"/>
      <c r="D292" s="99"/>
      <c r="E292" s="99"/>
      <c r="F292" s="98"/>
      <c r="G292" s="98"/>
      <c r="H292" s="98"/>
      <c r="I292" s="98"/>
      <c r="J292" s="98"/>
      <c r="K292" s="98"/>
      <c r="L292" s="9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</row>
    <row r="293" spans="1:25" x14ac:dyDescent="0.3">
      <c r="A293" s="98"/>
      <c r="B293" s="99"/>
      <c r="C293" s="99"/>
      <c r="D293" s="99"/>
      <c r="E293" s="99"/>
      <c r="F293" s="98"/>
      <c r="G293" s="98"/>
      <c r="H293" s="98"/>
      <c r="I293" s="98"/>
      <c r="J293" s="98"/>
      <c r="K293" s="98"/>
      <c r="L293" s="9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</row>
    <row r="294" spans="1:25" x14ac:dyDescent="0.3">
      <c r="A294" s="98"/>
      <c r="B294" s="99"/>
      <c r="C294" s="99"/>
      <c r="D294" s="99"/>
      <c r="E294" s="99"/>
      <c r="F294" s="98"/>
      <c r="G294" s="98"/>
      <c r="H294" s="98"/>
      <c r="I294" s="98"/>
      <c r="J294" s="98"/>
      <c r="K294" s="98"/>
      <c r="L294" s="9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</row>
    <row r="295" spans="1:25" x14ac:dyDescent="0.3">
      <c r="A295" s="98"/>
      <c r="B295" s="99"/>
      <c r="C295" s="99"/>
      <c r="D295" s="99"/>
      <c r="E295" s="99"/>
      <c r="F295" s="98"/>
      <c r="G295" s="98"/>
      <c r="H295" s="98"/>
      <c r="I295" s="98"/>
      <c r="J295" s="98"/>
      <c r="K295" s="98"/>
      <c r="L295" s="9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</row>
    <row r="296" spans="1:25" x14ac:dyDescent="0.3">
      <c r="A296" s="98"/>
      <c r="B296" s="99"/>
      <c r="C296" s="99"/>
      <c r="D296" s="99"/>
      <c r="E296" s="99"/>
      <c r="F296" s="98"/>
      <c r="G296" s="98"/>
      <c r="H296" s="98"/>
      <c r="I296" s="98"/>
      <c r="J296" s="98"/>
      <c r="K296" s="98"/>
      <c r="L296" s="9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</row>
    <row r="297" spans="1:25" x14ac:dyDescent="0.3">
      <c r="A297" s="98"/>
      <c r="B297" s="99"/>
      <c r="C297" s="99"/>
      <c r="D297" s="99"/>
      <c r="E297" s="99"/>
      <c r="F297" s="98"/>
      <c r="G297" s="98"/>
      <c r="H297" s="98"/>
      <c r="I297" s="98"/>
      <c r="J297" s="98"/>
      <c r="K297" s="98"/>
      <c r="L297" s="9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</row>
    <row r="298" spans="1:25" x14ac:dyDescent="0.3">
      <c r="A298" s="98"/>
      <c r="B298" s="99"/>
      <c r="C298" s="99"/>
      <c r="D298" s="99"/>
      <c r="E298" s="99"/>
      <c r="F298" s="98"/>
      <c r="G298" s="98"/>
      <c r="H298" s="98"/>
      <c r="I298" s="98"/>
      <c r="J298" s="98"/>
      <c r="K298" s="98"/>
      <c r="L298" s="9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</row>
    <row r="299" spans="1:25" x14ac:dyDescent="0.3">
      <c r="A299" s="98"/>
      <c r="B299" s="99"/>
      <c r="C299" s="99"/>
      <c r="D299" s="99"/>
      <c r="E299" s="99"/>
      <c r="F299" s="98"/>
      <c r="G299" s="98"/>
      <c r="H299" s="98"/>
      <c r="I299" s="98"/>
      <c r="J299" s="98"/>
      <c r="K299" s="98"/>
      <c r="L299" s="9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</row>
    <row r="300" spans="1:25" x14ac:dyDescent="0.3">
      <c r="A300" s="98"/>
      <c r="B300" s="99"/>
      <c r="C300" s="99"/>
      <c r="D300" s="99"/>
      <c r="E300" s="99"/>
      <c r="F300" s="98"/>
      <c r="G300" s="98"/>
      <c r="H300" s="98"/>
      <c r="I300" s="98"/>
      <c r="J300" s="98"/>
      <c r="K300" s="98"/>
      <c r="L300" s="9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</row>
    <row r="301" spans="1:25" x14ac:dyDescent="0.3">
      <c r="A301" s="98"/>
      <c r="B301" s="99"/>
      <c r="C301" s="99"/>
      <c r="D301" s="99"/>
      <c r="E301" s="99"/>
      <c r="F301" s="98"/>
      <c r="G301" s="98"/>
      <c r="H301" s="98"/>
      <c r="I301" s="98"/>
      <c r="J301" s="98"/>
      <c r="K301" s="98"/>
      <c r="L301" s="9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</row>
    <row r="302" spans="1:25" x14ac:dyDescent="0.3">
      <c r="A302" s="98"/>
      <c r="B302" s="99"/>
      <c r="C302" s="99"/>
      <c r="D302" s="99"/>
      <c r="E302" s="99"/>
      <c r="F302" s="98"/>
      <c r="G302" s="98"/>
      <c r="H302" s="98"/>
      <c r="I302" s="98"/>
      <c r="J302" s="98"/>
      <c r="K302" s="98"/>
      <c r="L302" s="9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</row>
    <row r="303" spans="1:25" x14ac:dyDescent="0.3">
      <c r="A303" s="98"/>
      <c r="B303" s="99"/>
      <c r="C303" s="99"/>
      <c r="D303" s="99"/>
      <c r="E303" s="99"/>
      <c r="F303" s="98"/>
      <c r="G303" s="98"/>
      <c r="H303" s="98"/>
      <c r="I303" s="98"/>
      <c r="J303" s="98"/>
      <c r="K303" s="98"/>
      <c r="L303" s="9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</row>
    <row r="304" spans="1:25" x14ac:dyDescent="0.3">
      <c r="A304" s="98"/>
      <c r="B304" s="99"/>
      <c r="C304" s="99"/>
      <c r="D304" s="99"/>
      <c r="E304" s="99"/>
      <c r="F304" s="98"/>
      <c r="G304" s="98"/>
      <c r="H304" s="98"/>
      <c r="I304" s="98"/>
      <c r="J304" s="98"/>
      <c r="K304" s="98"/>
      <c r="L304" s="9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</row>
    <row r="305" spans="1:25" x14ac:dyDescent="0.3">
      <c r="A305" s="98"/>
      <c r="B305" s="99"/>
      <c r="C305" s="99"/>
      <c r="D305" s="99"/>
      <c r="E305" s="99"/>
      <c r="F305" s="98"/>
      <c r="G305" s="98"/>
      <c r="H305" s="98"/>
      <c r="I305" s="98"/>
      <c r="J305" s="98"/>
      <c r="K305" s="98"/>
      <c r="L305" s="9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</row>
    <row r="306" spans="1:25" x14ac:dyDescent="0.3">
      <c r="A306" s="98"/>
      <c r="B306" s="99"/>
      <c r="C306" s="99"/>
      <c r="D306" s="99"/>
      <c r="E306" s="99"/>
      <c r="F306" s="98"/>
      <c r="G306" s="98"/>
      <c r="H306" s="98"/>
      <c r="I306" s="98"/>
      <c r="J306" s="98"/>
      <c r="K306" s="98"/>
      <c r="L306" s="9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</row>
    <row r="307" spans="1:25" x14ac:dyDescent="0.3">
      <c r="A307" s="98"/>
      <c r="B307" s="99"/>
      <c r="C307" s="99"/>
      <c r="D307" s="99"/>
      <c r="E307" s="99"/>
      <c r="F307" s="98"/>
      <c r="G307" s="98"/>
      <c r="H307" s="98"/>
      <c r="I307" s="98"/>
      <c r="J307" s="98"/>
      <c r="K307" s="98"/>
      <c r="L307" s="9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</row>
    <row r="308" spans="1:25" x14ac:dyDescent="0.3">
      <c r="A308" s="98"/>
      <c r="B308" s="99"/>
      <c r="C308" s="99"/>
      <c r="D308" s="99"/>
      <c r="E308" s="99"/>
      <c r="F308" s="98"/>
      <c r="G308" s="98"/>
      <c r="H308" s="98"/>
      <c r="I308" s="98"/>
      <c r="J308" s="98"/>
      <c r="K308" s="98"/>
      <c r="L308" s="9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</row>
    <row r="309" spans="1:25" x14ac:dyDescent="0.3">
      <c r="F309" s="98"/>
      <c r="G309" s="98"/>
      <c r="H309" s="98"/>
      <c r="I309" s="98"/>
      <c r="J309" s="98"/>
      <c r="K309" s="98"/>
      <c r="L309" s="9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</row>
    <row r="310" spans="1:25" x14ac:dyDescent="0.3">
      <c r="F310" s="98"/>
      <c r="G310" s="98"/>
      <c r="H310" s="98"/>
      <c r="I310" s="98"/>
      <c r="J310" s="98"/>
      <c r="K310" s="98"/>
      <c r="L310" s="9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</row>
    <row r="311" spans="1:25" x14ac:dyDescent="0.3">
      <c r="F311" s="98"/>
      <c r="G311" s="98"/>
      <c r="H311" s="98"/>
      <c r="I311" s="98"/>
      <c r="J311" s="98"/>
      <c r="K311" s="98"/>
      <c r="L311" s="9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</row>
    <row r="312" spans="1:25" x14ac:dyDescent="0.3">
      <c r="F312" s="98"/>
      <c r="G312" s="98"/>
      <c r="H312" s="98"/>
      <c r="I312" s="98"/>
      <c r="J312" s="98"/>
      <c r="K312" s="98"/>
      <c r="L312" s="9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</row>
    <row r="313" spans="1:25" x14ac:dyDescent="0.3">
      <c r="F313" s="98"/>
      <c r="G313" s="98"/>
      <c r="H313" s="98"/>
      <c r="I313" s="98"/>
      <c r="J313" s="98"/>
      <c r="K313" s="98"/>
      <c r="L313" s="9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</row>
    <row r="314" spans="1:25" x14ac:dyDescent="0.3">
      <c r="F314" s="98"/>
      <c r="G314" s="98"/>
      <c r="H314" s="98"/>
      <c r="I314" s="98"/>
      <c r="J314" s="98"/>
      <c r="K314" s="98"/>
      <c r="L314" s="9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</row>
    <row r="315" spans="1:25" x14ac:dyDescent="0.3">
      <c r="F315" s="98"/>
      <c r="G315" s="98"/>
      <c r="H315" s="98"/>
      <c r="I315" s="98"/>
      <c r="J315" s="98"/>
      <c r="K315" s="98"/>
      <c r="L315" s="9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</row>
    <row r="316" spans="1:25" x14ac:dyDescent="0.3">
      <c r="F316" s="98"/>
      <c r="G316" s="98"/>
      <c r="H316" s="98"/>
      <c r="I316" s="98"/>
      <c r="J316" s="98"/>
      <c r="K316" s="98"/>
      <c r="L316" s="9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</row>
    <row r="317" spans="1:25" x14ac:dyDescent="0.3">
      <c r="F317" s="98"/>
      <c r="G317" s="98"/>
      <c r="H317" s="98"/>
      <c r="I317" s="98"/>
      <c r="J317" s="98"/>
      <c r="K317" s="98"/>
      <c r="L317" s="9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</row>
    <row r="318" spans="1:25" x14ac:dyDescent="0.3">
      <c r="F318" s="98"/>
      <c r="G318" s="98"/>
      <c r="H318" s="98"/>
      <c r="I318" s="98"/>
      <c r="J318" s="98"/>
      <c r="K318" s="98"/>
      <c r="L318" s="9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</row>
    <row r="319" spans="1:25" x14ac:dyDescent="0.3">
      <c r="F319" s="98"/>
      <c r="G319" s="98"/>
      <c r="H319" s="98"/>
      <c r="I319" s="98"/>
      <c r="J319" s="98"/>
      <c r="K319" s="98"/>
      <c r="L319" s="9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</row>
    <row r="320" spans="1:25" x14ac:dyDescent="0.3">
      <c r="F320" s="98"/>
      <c r="G320" s="98"/>
      <c r="H320" s="98"/>
      <c r="I320" s="98"/>
      <c r="J320" s="98"/>
      <c r="K320" s="98"/>
      <c r="L320" s="9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</row>
    <row r="321" spans="6:25" x14ac:dyDescent="0.3">
      <c r="F321" s="98"/>
      <c r="G321" s="98"/>
      <c r="H321" s="98"/>
      <c r="I321" s="98"/>
      <c r="J321" s="98"/>
      <c r="K321" s="98"/>
      <c r="L321" s="9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</row>
    <row r="322" spans="6:25" x14ac:dyDescent="0.3">
      <c r="F322" s="98"/>
      <c r="G322" s="98"/>
      <c r="H322" s="98"/>
      <c r="I322" s="98"/>
      <c r="J322" s="98"/>
      <c r="K322" s="98"/>
      <c r="L322" s="9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</row>
    <row r="323" spans="6:25" x14ac:dyDescent="0.3">
      <c r="F323" s="98"/>
      <c r="G323" s="98"/>
      <c r="H323" s="98"/>
      <c r="I323" s="98"/>
      <c r="J323" s="98"/>
      <c r="K323" s="98"/>
      <c r="L323" s="9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</row>
    <row r="324" spans="6:25" x14ac:dyDescent="0.3">
      <c r="F324" s="98"/>
      <c r="G324" s="98"/>
      <c r="H324" s="98"/>
      <c r="I324" s="98"/>
      <c r="J324" s="98"/>
      <c r="K324" s="98"/>
      <c r="L324" s="9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</row>
    <row r="325" spans="6:25" x14ac:dyDescent="0.3">
      <c r="F325" s="98"/>
      <c r="G325" s="98"/>
      <c r="H325" s="98"/>
      <c r="I325" s="98"/>
      <c r="J325" s="98"/>
      <c r="K325" s="98"/>
      <c r="L325" s="9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</row>
    <row r="326" spans="6:25" x14ac:dyDescent="0.3">
      <c r="F326" s="98"/>
      <c r="G326" s="98"/>
      <c r="H326" s="98"/>
      <c r="I326" s="98"/>
      <c r="J326" s="98"/>
      <c r="K326" s="98"/>
      <c r="L326" s="9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</row>
    <row r="327" spans="6:25" x14ac:dyDescent="0.3">
      <c r="F327" s="98"/>
      <c r="G327" s="98"/>
      <c r="H327" s="98"/>
      <c r="I327" s="98"/>
      <c r="J327" s="98"/>
      <c r="K327" s="98"/>
      <c r="L327" s="9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</row>
    <row r="328" spans="6:25" x14ac:dyDescent="0.3">
      <c r="F328" s="98"/>
      <c r="G328" s="98"/>
      <c r="H328" s="98"/>
      <c r="I328" s="98"/>
      <c r="J328" s="98"/>
      <c r="K328" s="98"/>
      <c r="L328" s="9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</row>
    <row r="329" spans="6:25" x14ac:dyDescent="0.3">
      <c r="F329" s="98"/>
      <c r="G329" s="98"/>
      <c r="H329" s="98"/>
      <c r="I329" s="98"/>
      <c r="J329" s="98"/>
      <c r="K329" s="98"/>
      <c r="L329" s="9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</row>
    <row r="330" spans="6:25" x14ac:dyDescent="0.3">
      <c r="F330" s="98"/>
      <c r="G330" s="98"/>
      <c r="H330" s="98"/>
      <c r="I330" s="98"/>
      <c r="J330" s="98"/>
      <c r="K330" s="98"/>
      <c r="L330" s="9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</row>
    <row r="331" spans="6:25" x14ac:dyDescent="0.3">
      <c r="F331" s="98"/>
      <c r="G331" s="98"/>
      <c r="H331" s="98"/>
      <c r="I331" s="98"/>
      <c r="J331" s="98"/>
      <c r="K331" s="98"/>
      <c r="L331" s="9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</row>
    <row r="332" spans="6:25" x14ac:dyDescent="0.3">
      <c r="F332" s="98"/>
      <c r="G332" s="98"/>
      <c r="H332" s="98"/>
      <c r="I332" s="98"/>
      <c r="J332" s="98"/>
      <c r="K332" s="98"/>
      <c r="L332" s="9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</row>
    <row r="333" spans="6:25" x14ac:dyDescent="0.3">
      <c r="F333" s="98"/>
      <c r="G333" s="98"/>
      <c r="H333" s="98"/>
      <c r="I333" s="98"/>
      <c r="J333" s="98"/>
      <c r="K333" s="98"/>
      <c r="L333" s="9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</row>
    <row r="334" spans="6:25" x14ac:dyDescent="0.3">
      <c r="F334" s="98"/>
      <c r="G334" s="98"/>
      <c r="H334" s="98"/>
      <c r="I334" s="98"/>
      <c r="J334" s="98"/>
      <c r="K334" s="98"/>
      <c r="L334" s="9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</row>
    <row r="335" spans="6:25" x14ac:dyDescent="0.3">
      <c r="F335" s="98"/>
      <c r="G335" s="98"/>
      <c r="H335" s="98"/>
      <c r="I335" s="98"/>
      <c r="J335" s="98"/>
      <c r="K335" s="98"/>
      <c r="L335" s="9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</row>
    <row r="336" spans="6:25" x14ac:dyDescent="0.3">
      <c r="F336" s="98"/>
      <c r="G336" s="98"/>
      <c r="H336" s="98"/>
      <c r="I336" s="98"/>
      <c r="J336" s="98"/>
      <c r="K336" s="98"/>
      <c r="L336" s="9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</row>
    <row r="337" spans="6:25" x14ac:dyDescent="0.3">
      <c r="F337" s="98"/>
      <c r="G337" s="98"/>
      <c r="H337" s="98"/>
      <c r="I337" s="98"/>
      <c r="J337" s="98"/>
      <c r="K337" s="98"/>
      <c r="L337" s="9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</row>
    <row r="338" spans="6:25" x14ac:dyDescent="0.3">
      <c r="F338" s="98"/>
      <c r="G338" s="98"/>
      <c r="H338" s="98"/>
      <c r="I338" s="98"/>
      <c r="J338" s="98"/>
      <c r="K338" s="98"/>
      <c r="L338" s="9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</row>
    <row r="339" spans="6:25" x14ac:dyDescent="0.3">
      <c r="F339" s="98"/>
      <c r="G339" s="98"/>
      <c r="H339" s="98"/>
      <c r="I339" s="98"/>
      <c r="J339" s="98"/>
      <c r="K339" s="98"/>
      <c r="L339" s="9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</row>
    <row r="340" spans="6:25" x14ac:dyDescent="0.3">
      <c r="F340" s="98"/>
      <c r="G340" s="98"/>
      <c r="H340" s="98"/>
      <c r="I340" s="98"/>
      <c r="J340" s="98"/>
      <c r="K340" s="98"/>
      <c r="L340" s="9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</row>
    <row r="341" spans="6:25" x14ac:dyDescent="0.3">
      <c r="F341" s="98"/>
      <c r="G341" s="98"/>
      <c r="H341" s="98"/>
      <c r="I341" s="98"/>
      <c r="J341" s="98"/>
      <c r="K341" s="98"/>
      <c r="L341" s="9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</row>
    <row r="342" spans="6:25" x14ac:dyDescent="0.3">
      <c r="F342" s="98"/>
      <c r="G342" s="98"/>
      <c r="H342" s="98"/>
      <c r="I342" s="98"/>
      <c r="J342" s="98"/>
      <c r="K342" s="98"/>
      <c r="L342" s="9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</row>
    <row r="343" spans="6:25" x14ac:dyDescent="0.3">
      <c r="F343" s="98"/>
      <c r="G343" s="98"/>
      <c r="H343" s="98"/>
      <c r="I343" s="98"/>
      <c r="J343" s="98"/>
      <c r="K343" s="98"/>
      <c r="L343" s="9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</row>
    <row r="344" spans="6:25" x14ac:dyDescent="0.3">
      <c r="F344" s="98"/>
      <c r="G344" s="98"/>
      <c r="H344" s="98"/>
      <c r="I344" s="98"/>
      <c r="J344" s="98"/>
      <c r="K344" s="98"/>
      <c r="L344" s="9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</row>
    <row r="345" spans="6:25" x14ac:dyDescent="0.3">
      <c r="F345" s="98"/>
      <c r="G345" s="98"/>
      <c r="H345" s="98"/>
      <c r="I345" s="98"/>
      <c r="J345" s="98"/>
      <c r="K345" s="98"/>
      <c r="L345" s="9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</row>
    <row r="346" spans="6:25" x14ac:dyDescent="0.3">
      <c r="F346" s="98"/>
      <c r="G346" s="98"/>
      <c r="H346" s="98"/>
      <c r="I346" s="98"/>
      <c r="J346" s="98"/>
      <c r="K346" s="98"/>
      <c r="L346" s="9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</row>
    <row r="347" spans="6:25" x14ac:dyDescent="0.3">
      <c r="F347" s="98"/>
      <c r="G347" s="98"/>
      <c r="H347" s="98"/>
      <c r="I347" s="98"/>
      <c r="J347" s="98"/>
      <c r="K347" s="98"/>
      <c r="L347" s="9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</row>
    <row r="348" spans="6:25" x14ac:dyDescent="0.3">
      <c r="F348" s="98"/>
      <c r="G348" s="98"/>
      <c r="H348" s="98"/>
      <c r="I348" s="98"/>
      <c r="J348" s="98"/>
      <c r="K348" s="98"/>
      <c r="L348" s="9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</row>
    <row r="349" spans="6:25" x14ac:dyDescent="0.3">
      <c r="F349" s="98"/>
      <c r="G349" s="98"/>
      <c r="H349" s="98"/>
      <c r="I349" s="98"/>
      <c r="J349" s="98"/>
      <c r="K349" s="98"/>
      <c r="L349" s="9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</row>
    <row r="350" spans="6:25" x14ac:dyDescent="0.3">
      <c r="F350" s="98"/>
      <c r="G350" s="98"/>
      <c r="H350" s="98"/>
      <c r="I350" s="98"/>
      <c r="J350" s="98"/>
      <c r="K350" s="98"/>
      <c r="L350" s="9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</row>
    <row r="351" spans="6:25" x14ac:dyDescent="0.3">
      <c r="F351" s="98"/>
      <c r="G351" s="98"/>
      <c r="H351" s="98"/>
      <c r="I351" s="98"/>
      <c r="J351" s="98"/>
      <c r="K351" s="98"/>
      <c r="L351" s="9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</row>
    <row r="352" spans="6:25" x14ac:dyDescent="0.3">
      <c r="F352" s="98"/>
      <c r="G352" s="98"/>
      <c r="H352" s="98"/>
      <c r="I352" s="98"/>
      <c r="J352" s="98"/>
      <c r="K352" s="98"/>
      <c r="L352" s="9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</row>
    <row r="353" spans="6:25" x14ac:dyDescent="0.3">
      <c r="F353" s="98"/>
      <c r="G353" s="98"/>
      <c r="H353" s="98"/>
      <c r="I353" s="98"/>
      <c r="J353" s="98"/>
      <c r="K353" s="98"/>
      <c r="L353" s="9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</row>
    <row r="354" spans="6:25" x14ac:dyDescent="0.3">
      <c r="F354" s="98"/>
      <c r="G354" s="98"/>
      <c r="H354" s="98"/>
      <c r="I354" s="98"/>
      <c r="J354" s="98"/>
      <c r="K354" s="98"/>
      <c r="L354" s="9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</row>
    <row r="355" spans="6:25" x14ac:dyDescent="0.3">
      <c r="F355" s="98"/>
      <c r="G355" s="98"/>
      <c r="H355" s="98"/>
      <c r="I355" s="98"/>
      <c r="J355" s="98"/>
      <c r="K355" s="98"/>
      <c r="L355" s="9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</row>
    <row r="356" spans="6:25" x14ac:dyDescent="0.3">
      <c r="F356" s="98"/>
      <c r="G356" s="98"/>
      <c r="H356" s="98"/>
      <c r="I356" s="98"/>
      <c r="J356" s="98"/>
      <c r="K356" s="98"/>
      <c r="L356" s="9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</row>
    <row r="357" spans="6:25" x14ac:dyDescent="0.3">
      <c r="F357" s="98"/>
      <c r="G357" s="98"/>
      <c r="H357" s="98"/>
      <c r="I357" s="98"/>
      <c r="J357" s="98"/>
      <c r="K357" s="98"/>
      <c r="L357" s="9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</row>
    <row r="358" spans="6:25" x14ac:dyDescent="0.3">
      <c r="F358" s="98"/>
      <c r="G358" s="98"/>
      <c r="H358" s="98"/>
      <c r="I358" s="98"/>
      <c r="J358" s="98"/>
      <c r="K358" s="98"/>
      <c r="L358" s="9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</row>
    <row r="359" spans="6:25" x14ac:dyDescent="0.3">
      <c r="F359" s="98"/>
      <c r="G359" s="98"/>
      <c r="H359" s="98"/>
      <c r="I359" s="98"/>
      <c r="J359" s="98"/>
      <c r="K359" s="98"/>
      <c r="L359" s="9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</row>
    <row r="360" spans="6:25" x14ac:dyDescent="0.3">
      <c r="F360" s="98"/>
      <c r="G360" s="98"/>
      <c r="H360" s="98"/>
      <c r="I360" s="98"/>
      <c r="J360" s="98"/>
      <c r="K360" s="98"/>
      <c r="L360" s="9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</row>
    <row r="361" spans="6:25" x14ac:dyDescent="0.3">
      <c r="F361" s="98"/>
      <c r="G361" s="98"/>
      <c r="H361" s="98"/>
      <c r="I361" s="98"/>
      <c r="J361" s="98"/>
      <c r="K361" s="98"/>
      <c r="L361" s="9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</row>
    <row r="362" spans="6:25" x14ac:dyDescent="0.3">
      <c r="F362" s="98"/>
      <c r="G362" s="98"/>
      <c r="H362" s="98"/>
      <c r="I362" s="98"/>
      <c r="J362" s="98"/>
      <c r="K362" s="98"/>
      <c r="L362" s="9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</row>
    <row r="363" spans="6:25" x14ac:dyDescent="0.3">
      <c r="F363" s="98"/>
      <c r="G363" s="98"/>
      <c r="H363" s="98"/>
      <c r="I363" s="98"/>
      <c r="J363" s="98"/>
      <c r="K363" s="98"/>
      <c r="L363" s="9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</row>
    <row r="364" spans="6:25" x14ac:dyDescent="0.3">
      <c r="F364" s="98"/>
      <c r="G364" s="98"/>
      <c r="H364" s="98"/>
      <c r="I364" s="98"/>
      <c r="J364" s="98"/>
      <c r="K364" s="98"/>
      <c r="L364" s="9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</row>
    <row r="365" spans="6:25" x14ac:dyDescent="0.3">
      <c r="F365" s="98"/>
      <c r="G365" s="98"/>
      <c r="H365" s="98"/>
      <c r="I365" s="98"/>
      <c r="J365" s="98"/>
      <c r="K365" s="98"/>
      <c r="L365" s="9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</row>
    <row r="366" spans="6:25" x14ac:dyDescent="0.3">
      <c r="F366" s="98"/>
      <c r="G366" s="98"/>
      <c r="H366" s="98"/>
      <c r="I366" s="98"/>
      <c r="J366" s="98"/>
      <c r="K366" s="98"/>
      <c r="L366" s="9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</row>
    <row r="367" spans="6:25" x14ac:dyDescent="0.3">
      <c r="F367" s="98"/>
      <c r="G367" s="98"/>
      <c r="H367" s="98"/>
      <c r="I367" s="98"/>
      <c r="J367" s="98"/>
      <c r="K367" s="98"/>
      <c r="L367" s="9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</row>
    <row r="368" spans="6:25" x14ac:dyDescent="0.3">
      <c r="F368" s="98"/>
      <c r="G368" s="98"/>
      <c r="H368" s="98"/>
      <c r="I368" s="98"/>
      <c r="J368" s="98"/>
      <c r="K368" s="98"/>
      <c r="L368" s="9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</row>
    <row r="369" spans="6:25" x14ac:dyDescent="0.3">
      <c r="F369" s="98"/>
      <c r="G369" s="98"/>
      <c r="H369" s="98"/>
      <c r="I369" s="98"/>
      <c r="J369" s="98"/>
      <c r="K369" s="98"/>
      <c r="L369" s="9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</row>
    <row r="370" spans="6:25" x14ac:dyDescent="0.3">
      <c r="F370" s="98"/>
      <c r="G370" s="98"/>
      <c r="H370" s="98"/>
      <c r="I370" s="98"/>
      <c r="J370" s="98"/>
      <c r="K370" s="98"/>
      <c r="L370" s="9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</row>
    <row r="371" spans="6:25" x14ac:dyDescent="0.3">
      <c r="F371" s="98"/>
      <c r="G371" s="98"/>
      <c r="H371" s="98"/>
      <c r="I371" s="98"/>
      <c r="J371" s="98"/>
      <c r="K371" s="98"/>
      <c r="L371" s="9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</row>
    <row r="372" spans="6:25" x14ac:dyDescent="0.3">
      <c r="F372" s="98"/>
      <c r="G372" s="98"/>
      <c r="H372" s="98"/>
      <c r="I372" s="98"/>
      <c r="J372" s="98"/>
      <c r="K372" s="98"/>
      <c r="L372" s="9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</row>
    <row r="373" spans="6:25" x14ac:dyDescent="0.3">
      <c r="F373" s="98"/>
      <c r="G373" s="98"/>
      <c r="H373" s="98"/>
      <c r="I373" s="98"/>
      <c r="J373" s="98"/>
      <c r="K373" s="98"/>
      <c r="L373" s="9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</row>
    <row r="374" spans="6:25" x14ac:dyDescent="0.3">
      <c r="F374" s="98"/>
      <c r="G374" s="98"/>
      <c r="H374" s="98"/>
      <c r="I374" s="98"/>
      <c r="J374" s="98"/>
      <c r="K374" s="98"/>
      <c r="L374" s="9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</row>
    <row r="375" spans="6:25" x14ac:dyDescent="0.3">
      <c r="F375" s="98"/>
      <c r="G375" s="98"/>
      <c r="H375" s="98"/>
      <c r="I375" s="98"/>
      <c r="J375" s="98"/>
      <c r="K375" s="98"/>
      <c r="L375" s="9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</row>
    <row r="376" spans="6:25" x14ac:dyDescent="0.3">
      <c r="F376" s="98"/>
      <c r="G376" s="98"/>
      <c r="H376" s="98"/>
      <c r="I376" s="98"/>
      <c r="J376" s="98"/>
      <c r="K376" s="98"/>
      <c r="L376" s="9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</row>
    <row r="377" spans="6:25" x14ac:dyDescent="0.3">
      <c r="F377" s="98"/>
      <c r="G377" s="98"/>
      <c r="H377" s="98"/>
      <c r="I377" s="98"/>
      <c r="J377" s="98"/>
      <c r="K377" s="98"/>
      <c r="L377" s="9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</row>
    <row r="378" spans="6:25" x14ac:dyDescent="0.3">
      <c r="F378" s="98"/>
      <c r="G378" s="98"/>
      <c r="H378" s="98"/>
      <c r="I378" s="98"/>
      <c r="J378" s="98"/>
      <c r="K378" s="98"/>
      <c r="L378" s="9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</row>
    <row r="379" spans="6:25" x14ac:dyDescent="0.3">
      <c r="F379" s="98"/>
      <c r="G379" s="98"/>
      <c r="H379" s="98"/>
      <c r="I379" s="98"/>
      <c r="J379" s="98"/>
      <c r="K379" s="98"/>
      <c r="L379" s="9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</row>
    <row r="380" spans="6:25" x14ac:dyDescent="0.3">
      <c r="F380" s="98"/>
      <c r="G380" s="98"/>
      <c r="H380" s="98"/>
      <c r="I380" s="98"/>
      <c r="J380" s="98"/>
      <c r="K380" s="98"/>
      <c r="L380" s="9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</row>
    <row r="381" spans="6:25" x14ac:dyDescent="0.3">
      <c r="F381" s="98"/>
      <c r="G381" s="98"/>
      <c r="H381" s="98"/>
      <c r="I381" s="98"/>
      <c r="J381" s="98"/>
      <c r="K381" s="98"/>
      <c r="L381" s="9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</row>
    <row r="382" spans="6:25" x14ac:dyDescent="0.3">
      <c r="F382" s="98"/>
      <c r="G382" s="98"/>
      <c r="H382" s="98"/>
      <c r="I382" s="98"/>
      <c r="J382" s="98"/>
      <c r="K382" s="98"/>
      <c r="L382" s="9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</row>
    <row r="383" spans="6:25" x14ac:dyDescent="0.3">
      <c r="F383" s="98"/>
      <c r="G383" s="98"/>
      <c r="H383" s="98"/>
      <c r="I383" s="98"/>
      <c r="J383" s="98"/>
      <c r="K383" s="98"/>
      <c r="L383" s="9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</row>
    <row r="384" spans="6:25" x14ac:dyDescent="0.3">
      <c r="F384" s="98"/>
      <c r="G384" s="98"/>
      <c r="H384" s="98"/>
      <c r="I384" s="98"/>
      <c r="J384" s="98"/>
      <c r="K384" s="98"/>
      <c r="L384" s="9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</row>
    <row r="385" spans="6:25" x14ac:dyDescent="0.3">
      <c r="F385" s="98"/>
      <c r="G385" s="98"/>
      <c r="H385" s="98"/>
      <c r="I385" s="98"/>
      <c r="J385" s="98"/>
      <c r="K385" s="98"/>
      <c r="L385" s="9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</row>
    <row r="386" spans="6:25" x14ac:dyDescent="0.3">
      <c r="F386" s="98"/>
      <c r="G386" s="98"/>
      <c r="H386" s="98"/>
      <c r="I386" s="98"/>
      <c r="J386" s="98"/>
      <c r="K386" s="98"/>
      <c r="L386" s="9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</row>
    <row r="387" spans="6:25" x14ac:dyDescent="0.3">
      <c r="F387" s="98"/>
      <c r="G387" s="98"/>
      <c r="H387" s="98"/>
      <c r="I387" s="98"/>
      <c r="J387" s="98"/>
      <c r="K387" s="98"/>
      <c r="L387" s="9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</row>
    <row r="388" spans="6:25" x14ac:dyDescent="0.3">
      <c r="F388" s="98"/>
      <c r="G388" s="98"/>
      <c r="H388" s="98"/>
      <c r="I388" s="98"/>
      <c r="J388" s="98"/>
      <c r="K388" s="98"/>
      <c r="L388" s="9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</row>
    <row r="389" spans="6:25" x14ac:dyDescent="0.3">
      <c r="F389" s="98"/>
      <c r="G389" s="98"/>
      <c r="H389" s="98"/>
      <c r="I389" s="98"/>
      <c r="J389" s="98"/>
      <c r="K389" s="98"/>
      <c r="L389" s="9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</row>
    <row r="390" spans="6:25" x14ac:dyDescent="0.3">
      <c r="F390" s="98"/>
      <c r="G390" s="98"/>
      <c r="H390" s="98"/>
      <c r="I390" s="98"/>
      <c r="J390" s="98"/>
      <c r="K390" s="98"/>
      <c r="L390" s="9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</row>
    <row r="391" spans="6:25" x14ac:dyDescent="0.3">
      <c r="F391" s="98"/>
      <c r="G391" s="98"/>
      <c r="H391" s="98"/>
      <c r="I391" s="98"/>
      <c r="J391" s="98"/>
      <c r="K391" s="98"/>
      <c r="L391" s="9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</row>
    <row r="392" spans="6:25" x14ac:dyDescent="0.3">
      <c r="F392" s="98"/>
      <c r="G392" s="98"/>
      <c r="H392" s="98"/>
      <c r="I392" s="98"/>
      <c r="J392" s="98"/>
      <c r="K392" s="98"/>
      <c r="L392" s="9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</row>
    <row r="393" spans="6:25" x14ac:dyDescent="0.3">
      <c r="F393" s="98"/>
      <c r="G393" s="98"/>
      <c r="H393" s="98"/>
      <c r="I393" s="98"/>
      <c r="J393" s="98"/>
      <c r="K393" s="98"/>
      <c r="L393" s="9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</row>
    <row r="394" spans="6:25" x14ac:dyDescent="0.3">
      <c r="F394" s="98"/>
      <c r="G394" s="98"/>
      <c r="H394" s="98"/>
      <c r="I394" s="98"/>
      <c r="J394" s="98"/>
      <c r="K394" s="98"/>
      <c r="L394" s="9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</row>
    <row r="395" spans="6:25" x14ac:dyDescent="0.3">
      <c r="F395" s="98"/>
      <c r="G395" s="98"/>
      <c r="H395" s="98"/>
      <c r="I395" s="98"/>
      <c r="J395" s="98"/>
      <c r="K395" s="98"/>
      <c r="L395" s="9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</row>
    <row r="396" spans="6:25" x14ac:dyDescent="0.3">
      <c r="F396" s="98"/>
      <c r="G396" s="98"/>
      <c r="H396" s="98"/>
      <c r="I396" s="98"/>
      <c r="J396" s="98"/>
      <c r="K396" s="98"/>
      <c r="L396" s="9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</row>
    <row r="397" spans="6:25" x14ac:dyDescent="0.3">
      <c r="F397" s="98"/>
      <c r="G397" s="98"/>
      <c r="H397" s="98"/>
      <c r="I397" s="98"/>
      <c r="J397" s="98"/>
      <c r="K397" s="98"/>
      <c r="L397" s="9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</row>
    <row r="398" spans="6:25" x14ac:dyDescent="0.3">
      <c r="F398" s="98"/>
      <c r="G398" s="98"/>
      <c r="H398" s="98"/>
      <c r="I398" s="98"/>
      <c r="J398" s="98"/>
      <c r="K398" s="98"/>
      <c r="L398" s="9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</row>
    <row r="399" spans="6:25" x14ac:dyDescent="0.3">
      <c r="F399" s="98"/>
      <c r="G399" s="98"/>
      <c r="H399" s="98"/>
      <c r="I399" s="98"/>
      <c r="J399" s="98"/>
      <c r="K399" s="98"/>
      <c r="L399" s="9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</row>
    <row r="400" spans="6:25" x14ac:dyDescent="0.3">
      <c r="F400" s="98"/>
      <c r="G400" s="98"/>
      <c r="H400" s="98"/>
      <c r="I400" s="98"/>
      <c r="J400" s="98"/>
      <c r="K400" s="98"/>
      <c r="L400" s="9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</row>
    <row r="401" spans="6:25" x14ac:dyDescent="0.3">
      <c r="F401" s="98"/>
      <c r="G401" s="98"/>
      <c r="H401" s="98"/>
      <c r="I401" s="98"/>
      <c r="J401" s="98"/>
      <c r="K401" s="98"/>
      <c r="L401" s="9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</row>
    <row r="402" spans="6:25" x14ac:dyDescent="0.3">
      <c r="F402" s="98"/>
      <c r="G402" s="98"/>
      <c r="H402" s="98"/>
      <c r="I402" s="98"/>
      <c r="J402" s="98"/>
      <c r="K402" s="98"/>
      <c r="L402" s="9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</row>
    <row r="403" spans="6:25" x14ac:dyDescent="0.3">
      <c r="F403" s="98"/>
      <c r="G403" s="98"/>
      <c r="H403" s="98"/>
      <c r="I403" s="98"/>
      <c r="J403" s="98"/>
      <c r="K403" s="98"/>
      <c r="L403" s="9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</row>
    <row r="404" spans="6:25" x14ac:dyDescent="0.3">
      <c r="F404" s="98"/>
      <c r="G404" s="98"/>
      <c r="H404" s="98"/>
      <c r="I404" s="98"/>
      <c r="J404" s="98"/>
      <c r="K404" s="98"/>
      <c r="L404" s="9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</row>
    <row r="405" spans="6:25" x14ac:dyDescent="0.3">
      <c r="F405" s="98"/>
      <c r="G405" s="98"/>
      <c r="H405" s="98"/>
      <c r="I405" s="98"/>
      <c r="J405" s="98"/>
      <c r="K405" s="98"/>
      <c r="L405" s="9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</row>
    <row r="406" spans="6:25" x14ac:dyDescent="0.3">
      <c r="F406" s="98"/>
      <c r="G406" s="98"/>
      <c r="H406" s="98"/>
      <c r="I406" s="98"/>
      <c r="J406" s="98"/>
      <c r="K406" s="98"/>
      <c r="L406" s="9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</row>
    <row r="407" spans="6:25" x14ac:dyDescent="0.3">
      <c r="F407" s="98"/>
      <c r="G407" s="98"/>
      <c r="H407" s="98"/>
      <c r="I407" s="98"/>
      <c r="J407" s="98"/>
      <c r="K407" s="98"/>
      <c r="L407" s="9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</row>
    <row r="408" spans="6:25" x14ac:dyDescent="0.3">
      <c r="F408" s="98"/>
      <c r="G408" s="98"/>
      <c r="H408" s="161"/>
      <c r="I408" s="161"/>
      <c r="J408" s="161"/>
      <c r="K408" s="161"/>
      <c r="L408" s="161"/>
      <c r="M408" s="162"/>
      <c r="N408" s="162"/>
      <c r="O408" s="162"/>
      <c r="P408" s="162"/>
      <c r="Q408" s="162"/>
      <c r="R408" s="162"/>
      <c r="S408" s="162"/>
      <c r="T408" s="158"/>
      <c r="U408" s="162"/>
      <c r="V408" s="162"/>
      <c r="W408" s="162"/>
      <c r="X408" s="162"/>
      <c r="Y408" s="162"/>
    </row>
    <row r="409" spans="6:25" x14ac:dyDescent="0.3">
      <c r="F409" s="98"/>
      <c r="G409" s="98"/>
      <c r="T409" s="158"/>
    </row>
    <row r="410" spans="6:25" x14ac:dyDescent="0.3">
      <c r="F410" s="98"/>
      <c r="G410" s="98"/>
      <c r="T410" s="158"/>
    </row>
    <row r="411" spans="6:25" x14ac:dyDescent="0.3">
      <c r="F411" s="98"/>
      <c r="G411" s="98"/>
      <c r="T411" s="158"/>
    </row>
    <row r="412" spans="6:25" x14ac:dyDescent="0.3">
      <c r="F412" s="98"/>
      <c r="G412" s="98"/>
      <c r="T412" s="158"/>
    </row>
    <row r="413" spans="6:25" x14ac:dyDescent="0.3">
      <c r="F413" s="98"/>
      <c r="G413" s="98"/>
      <c r="T413" s="158"/>
    </row>
    <row r="414" spans="6:25" x14ac:dyDescent="0.3">
      <c r="F414" s="98"/>
      <c r="G414" s="98"/>
      <c r="T414" s="158"/>
    </row>
    <row r="415" spans="6:25" x14ac:dyDescent="0.3">
      <c r="F415" s="98"/>
      <c r="G415" s="98"/>
      <c r="T415" s="158"/>
    </row>
    <row r="416" spans="6:25" x14ac:dyDescent="0.3">
      <c r="F416" s="98"/>
      <c r="G416" s="98"/>
      <c r="T416" s="158"/>
    </row>
    <row r="417" spans="6:20" x14ac:dyDescent="0.3">
      <c r="F417" s="98"/>
      <c r="G417" s="98"/>
      <c r="T417" s="158"/>
    </row>
    <row r="418" spans="6:20" x14ac:dyDescent="0.3">
      <c r="F418" s="98"/>
      <c r="G418" s="98"/>
      <c r="T418" s="162"/>
    </row>
  </sheetData>
  <mergeCells count="14">
    <mergeCell ref="T11:U11"/>
    <mergeCell ref="V11:W11"/>
    <mergeCell ref="X11:Y11"/>
    <mergeCell ref="B11:C11"/>
    <mergeCell ref="D11:E11"/>
    <mergeCell ref="F11:G11"/>
    <mergeCell ref="H11:I11"/>
    <mergeCell ref="J11:K11"/>
    <mergeCell ref="L11:M11"/>
    <mergeCell ref="A50:B50"/>
    <mergeCell ref="A76:D76"/>
    <mergeCell ref="N11:O11"/>
    <mergeCell ref="P11:Q11"/>
    <mergeCell ref="R11:S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FCE8-0AA9-4756-8221-DA8F33578259}">
  <dimension ref="A1:Y420"/>
  <sheetViews>
    <sheetView tabSelected="1" zoomScale="98" zoomScaleNormal="98" workbookViewId="0">
      <pane xSplit="1" topLeftCell="B1" activePane="topRight" state="frozen"/>
      <selection activeCell="A7" sqref="A7"/>
      <selection pane="topRight" activeCell="E17" sqref="E17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1" spans="1:25" ht="15.75" customHeight="1" x14ac:dyDescent="0.3">
      <c r="A1" s="3" t="s">
        <v>472</v>
      </c>
      <c r="B1" s="72"/>
      <c r="C1" s="72"/>
      <c r="D1" s="72"/>
      <c r="E1" s="72"/>
      <c r="F1" s="98"/>
      <c r="G1" s="98"/>
      <c r="H1" s="98"/>
      <c r="I1" s="98"/>
      <c r="J1" s="98"/>
      <c r="K1" s="98"/>
      <c r="L1" s="9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</row>
    <row r="2" spans="1:25" ht="15.75" customHeight="1" x14ac:dyDescent="0.3">
      <c r="A2" s="3" t="s">
        <v>477</v>
      </c>
      <c r="B2" s="72"/>
      <c r="C2" s="72"/>
      <c r="D2" s="72"/>
      <c r="E2" s="72"/>
      <c r="F2" s="98"/>
      <c r="G2" s="98"/>
      <c r="H2" s="98"/>
      <c r="I2" s="98"/>
      <c r="J2" s="98"/>
      <c r="K2" s="98"/>
      <c r="L2" s="9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5.75" customHeight="1" x14ac:dyDescent="0.3">
      <c r="A3" s="3"/>
      <c r="B3" s="72"/>
      <c r="C3" s="72"/>
      <c r="D3" s="72"/>
      <c r="E3" s="72"/>
      <c r="F3" s="98"/>
      <c r="G3" s="98"/>
      <c r="H3" s="98"/>
      <c r="I3" s="98"/>
      <c r="J3" s="98"/>
      <c r="K3" s="98"/>
      <c r="L3" s="9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</row>
    <row r="4" spans="1:25" ht="15.75" customHeight="1" x14ac:dyDescent="0.3">
      <c r="A4" s="3" t="s">
        <v>465</v>
      </c>
      <c r="B4" s="72"/>
      <c r="C4" s="72"/>
      <c r="D4" s="72"/>
      <c r="E4" s="72"/>
      <c r="F4" s="98"/>
      <c r="G4" s="98"/>
      <c r="H4" s="98"/>
      <c r="I4" s="98"/>
      <c r="J4" s="98"/>
      <c r="K4" s="98"/>
      <c r="L4" s="9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</row>
    <row r="5" spans="1:25" ht="15.75" customHeight="1" x14ac:dyDescent="0.3">
      <c r="A5" s="3" t="s">
        <v>468</v>
      </c>
      <c r="B5" s="72"/>
      <c r="C5" s="72"/>
      <c r="D5" s="72"/>
      <c r="E5" s="72"/>
      <c r="F5" s="98"/>
      <c r="G5" s="98"/>
      <c r="H5" s="98"/>
      <c r="I5" s="98"/>
      <c r="J5" s="98"/>
      <c r="K5" s="98"/>
      <c r="L5" s="9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</row>
    <row r="6" spans="1:25" x14ac:dyDescent="0.3">
      <c r="A6" s="3" t="s">
        <v>466</v>
      </c>
      <c r="B6" s="72"/>
      <c r="C6" s="72"/>
      <c r="D6" s="72"/>
      <c r="E6" s="72"/>
      <c r="F6" s="98"/>
      <c r="G6" s="98"/>
      <c r="H6" s="98"/>
      <c r="I6" s="98"/>
      <c r="J6" s="98"/>
      <c r="K6" s="98"/>
      <c r="L6" s="9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</row>
    <row r="7" spans="1:25" x14ac:dyDescent="0.3">
      <c r="A7" s="3"/>
      <c r="B7" s="72"/>
      <c r="C7" s="72"/>
      <c r="D7" s="72"/>
      <c r="E7" s="72"/>
      <c r="F7" s="98"/>
      <c r="G7" s="98"/>
      <c r="H7" s="98"/>
      <c r="I7" s="98"/>
      <c r="J7" s="98"/>
      <c r="K7" s="98"/>
      <c r="L7" s="9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</row>
    <row r="8" spans="1:25" x14ac:dyDescent="0.3">
      <c r="A8" s="3" t="s">
        <v>467</v>
      </c>
      <c r="B8" s="72"/>
      <c r="C8" s="72"/>
      <c r="D8" s="72"/>
      <c r="E8" s="72"/>
      <c r="F8" s="98"/>
      <c r="G8" s="98"/>
      <c r="H8" s="98"/>
      <c r="I8" s="98"/>
      <c r="J8" s="98"/>
      <c r="K8" s="98"/>
      <c r="L8" s="9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</row>
    <row r="9" spans="1:25" x14ac:dyDescent="0.3">
      <c r="A9" s="3" t="s">
        <v>469</v>
      </c>
      <c r="B9" s="72"/>
      <c r="C9" s="72"/>
      <c r="D9" s="72"/>
      <c r="E9" s="72"/>
      <c r="F9" s="98"/>
      <c r="G9" s="98"/>
      <c r="H9" s="98"/>
      <c r="I9" s="98"/>
      <c r="J9" s="98"/>
      <c r="K9" s="98"/>
      <c r="L9" s="9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</row>
    <row r="11" spans="1:25" x14ac:dyDescent="0.3">
      <c r="A11" s="212" t="s">
        <v>473</v>
      </c>
    </row>
    <row r="13" spans="1:25" ht="17.399999999999999" x14ac:dyDescent="0.3">
      <c r="A13" s="213" t="s">
        <v>474</v>
      </c>
    </row>
    <row r="15" spans="1:25" ht="18" x14ac:dyDescent="0.35">
      <c r="A15" s="197" t="s">
        <v>475</v>
      </c>
    </row>
    <row r="17" spans="1:25" ht="15.6" x14ac:dyDescent="0.3">
      <c r="A17" s="94" t="s">
        <v>361</v>
      </c>
      <c r="F17" s="98"/>
      <c r="G17" s="98"/>
      <c r="H17" s="138"/>
      <c r="I17" s="138"/>
      <c r="J17" s="138"/>
      <c r="K17" s="138"/>
      <c r="L17" s="138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21" x14ac:dyDescent="0.4">
      <c r="A18" s="95" t="s">
        <v>380</v>
      </c>
      <c r="B18" s="2"/>
      <c r="C18" s="67"/>
      <c r="D18" s="2"/>
      <c r="E18" s="2"/>
      <c r="F18" s="98"/>
      <c r="G18" s="98"/>
      <c r="H18" s="98"/>
      <c r="I18" s="98"/>
      <c r="J18" s="98"/>
      <c r="K18" s="98"/>
      <c r="L18" s="9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</row>
    <row r="19" spans="1:25" ht="12.75" customHeight="1" x14ac:dyDescent="0.4">
      <c r="B19" s="4"/>
      <c r="C19" s="68"/>
      <c r="D19" s="2"/>
      <c r="E19" s="2"/>
      <c r="F19" s="98"/>
      <c r="G19" s="98"/>
      <c r="H19" s="98"/>
      <c r="I19" s="98"/>
      <c r="J19" s="98"/>
      <c r="K19" s="98"/>
      <c r="L19" s="9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</row>
    <row r="20" spans="1:25" ht="15" thickBot="1" x14ac:dyDescent="0.35">
      <c r="A20" s="5"/>
      <c r="B20" s="6"/>
      <c r="C20" s="69"/>
      <c r="D20" s="6"/>
      <c r="E20" s="6"/>
      <c r="F20" s="139"/>
      <c r="G20" s="139"/>
      <c r="H20" s="139"/>
      <c r="I20" s="139"/>
      <c r="J20" s="139"/>
      <c r="K20" s="139"/>
      <c r="L20" s="139"/>
      <c r="M20" s="139"/>
      <c r="N20" s="174"/>
      <c r="O20" s="139"/>
      <c r="P20" s="174"/>
      <c r="Q20" s="139"/>
      <c r="R20" s="174"/>
      <c r="S20" s="139"/>
      <c r="T20" s="174"/>
      <c r="U20" s="139"/>
      <c r="V20" s="139"/>
      <c r="W20" s="139"/>
      <c r="X20" s="139"/>
      <c r="Y20" s="139"/>
    </row>
    <row r="21" spans="1:25" s="9" customFormat="1" ht="15.75" customHeight="1" x14ac:dyDescent="0.35">
      <c r="A21" s="8" t="s">
        <v>0</v>
      </c>
      <c r="B21" s="205" t="s">
        <v>133</v>
      </c>
      <c r="C21" s="205"/>
      <c r="D21" s="206" t="s">
        <v>149</v>
      </c>
      <c r="E21" s="207"/>
      <c r="F21" s="208" t="s">
        <v>181</v>
      </c>
      <c r="G21" s="209"/>
      <c r="H21" s="203" t="s">
        <v>211</v>
      </c>
      <c r="I21" s="204"/>
      <c r="J21" s="210" t="s">
        <v>213</v>
      </c>
      <c r="K21" s="211"/>
      <c r="L21" s="208" t="s">
        <v>229</v>
      </c>
      <c r="M21" s="209"/>
      <c r="N21" s="203" t="s">
        <v>247</v>
      </c>
      <c r="O21" s="204"/>
      <c r="P21" s="203" t="s">
        <v>280</v>
      </c>
      <c r="Q21" s="204"/>
      <c r="R21" s="203" t="s">
        <v>297</v>
      </c>
      <c r="S21" s="204"/>
      <c r="T21" s="203" t="s">
        <v>320</v>
      </c>
      <c r="U21" s="204"/>
      <c r="V21" s="203" t="s">
        <v>343</v>
      </c>
      <c r="W21" s="204"/>
      <c r="X21" s="203" t="s">
        <v>358</v>
      </c>
      <c r="Y21" s="204"/>
    </row>
    <row r="22" spans="1:25" s="9" customFormat="1" ht="15.75" customHeight="1" x14ac:dyDescent="0.35">
      <c r="A22" s="8"/>
      <c r="B22" s="88" t="s">
        <v>1</v>
      </c>
      <c r="C22" s="88" t="s">
        <v>150</v>
      </c>
      <c r="D22" s="88" t="s">
        <v>1</v>
      </c>
      <c r="E22" s="88" t="s">
        <v>150</v>
      </c>
      <c r="F22" s="88" t="s">
        <v>1</v>
      </c>
      <c r="G22" s="88" t="s">
        <v>150</v>
      </c>
      <c r="H22" s="88" t="s">
        <v>1</v>
      </c>
      <c r="I22" s="88" t="s">
        <v>150</v>
      </c>
      <c r="J22" s="88" t="s">
        <v>1</v>
      </c>
      <c r="K22" s="88" t="s">
        <v>150</v>
      </c>
      <c r="L22" s="88" t="s">
        <v>1</v>
      </c>
      <c r="M22" s="88" t="s">
        <v>150</v>
      </c>
      <c r="N22" s="88" t="s">
        <v>1</v>
      </c>
      <c r="O22" s="88" t="s">
        <v>150</v>
      </c>
      <c r="P22" s="88" t="s">
        <v>1</v>
      </c>
      <c r="Q22" s="88" t="s">
        <v>150</v>
      </c>
      <c r="R22" s="88" t="s">
        <v>1</v>
      </c>
      <c r="S22" s="88" t="s">
        <v>150</v>
      </c>
      <c r="T22" s="88" t="s">
        <v>1</v>
      </c>
      <c r="U22" s="88" t="s">
        <v>150</v>
      </c>
      <c r="V22" s="88" t="s">
        <v>1</v>
      </c>
      <c r="W22" s="88" t="s">
        <v>150</v>
      </c>
      <c r="X22" s="88" t="s">
        <v>1</v>
      </c>
      <c r="Y22" s="88" t="s">
        <v>150</v>
      </c>
    </row>
    <row r="23" spans="1:25" s="13" customFormat="1" ht="15.75" customHeight="1" x14ac:dyDescent="0.3">
      <c r="A23" s="10" t="s">
        <v>2</v>
      </c>
      <c r="B23" s="11">
        <v>15</v>
      </c>
      <c r="C23" s="12">
        <v>0</v>
      </c>
      <c r="D23" s="11">
        <f t="shared" ref="D23:Y23" si="0">B39</f>
        <v>5.3170000000000073</v>
      </c>
      <c r="E23" s="11">
        <f t="shared" si="0"/>
        <v>0</v>
      </c>
      <c r="F23" s="11">
        <f t="shared" si="0"/>
        <v>204.71199999999999</v>
      </c>
      <c r="G23" s="11">
        <f t="shared" si="0"/>
        <v>0</v>
      </c>
      <c r="H23" s="11">
        <f t="shared" si="0"/>
        <v>476.62599999999998</v>
      </c>
      <c r="I23" s="11">
        <f t="shared" si="0"/>
        <v>0</v>
      </c>
      <c r="J23" s="11">
        <f t="shared" si="0"/>
        <v>-501.92900000000009</v>
      </c>
      <c r="K23" s="11">
        <f t="shared" si="0"/>
        <v>0</v>
      </c>
      <c r="L23" s="11">
        <f t="shared" si="0"/>
        <v>-256.08570000000009</v>
      </c>
      <c r="M23" s="11">
        <f t="shared" si="0"/>
        <v>0</v>
      </c>
      <c r="N23" s="11">
        <f t="shared" si="0"/>
        <v>-290.18770000000018</v>
      </c>
      <c r="O23" s="11">
        <f t="shared" si="0"/>
        <v>0</v>
      </c>
      <c r="P23" s="11">
        <f t="shared" si="0"/>
        <v>-361.45850000000019</v>
      </c>
      <c r="Q23" s="11">
        <f t="shared" si="0"/>
        <v>0</v>
      </c>
      <c r="R23" s="11">
        <f t="shared" si="0"/>
        <v>-351.02350000000024</v>
      </c>
      <c r="S23" s="11">
        <f t="shared" si="0"/>
        <v>0</v>
      </c>
      <c r="T23" s="11">
        <f t="shared" si="0"/>
        <v>-356.59850000000029</v>
      </c>
      <c r="U23" s="11">
        <f t="shared" si="0"/>
        <v>0</v>
      </c>
      <c r="V23" s="11">
        <f t="shared" si="0"/>
        <v>49.054499999999734</v>
      </c>
      <c r="W23" s="11">
        <f t="shared" si="0"/>
        <v>0</v>
      </c>
      <c r="X23" s="11">
        <f t="shared" si="0"/>
        <v>-336.50050000000033</v>
      </c>
      <c r="Y23" s="11">
        <f t="shared" si="0"/>
        <v>0</v>
      </c>
    </row>
    <row r="24" spans="1:25" s="13" customFormat="1" ht="15.6" x14ac:dyDescent="0.3">
      <c r="A24" s="10" t="s">
        <v>35</v>
      </c>
      <c r="B24" s="14">
        <f>January!E42</f>
        <v>730</v>
      </c>
      <c r="C24" s="15">
        <f>JUNE!N11</f>
        <v>0</v>
      </c>
      <c r="D24" s="14">
        <f>FEB!E41</f>
        <v>1050</v>
      </c>
      <c r="E24" s="14">
        <f>FEB!M11</f>
        <v>0</v>
      </c>
      <c r="F24" s="29">
        <f>'MARCH 25'!E47</f>
        <v>860</v>
      </c>
      <c r="G24" s="11">
        <f>E40</f>
        <v>0</v>
      </c>
      <c r="H24" s="29">
        <f>'April 25'!E38</f>
        <v>550</v>
      </c>
      <c r="I24" s="166">
        <v>0</v>
      </c>
      <c r="J24" s="29">
        <f>'May25'!E46</f>
        <v>1067</v>
      </c>
      <c r="K24" s="166">
        <f>'May25'!N11</f>
        <v>0</v>
      </c>
      <c r="L24" s="29">
        <f>june25!E50</f>
        <v>1020</v>
      </c>
      <c r="M24" s="173">
        <v>0</v>
      </c>
      <c r="N24" s="168">
        <f>'july 25'!E44</f>
        <v>708</v>
      </c>
      <c r="O24" s="173">
        <v>0</v>
      </c>
      <c r="P24" s="168">
        <f>August25!E36</f>
        <v>650</v>
      </c>
      <c r="Q24" s="173">
        <v>0</v>
      </c>
      <c r="R24" s="168">
        <f>Sept!E44</f>
        <v>750</v>
      </c>
      <c r="S24" s="173">
        <f>Sept!N11</f>
        <v>0</v>
      </c>
      <c r="T24" s="168">
        <f>October25!E67</f>
        <v>1470</v>
      </c>
      <c r="U24" s="173">
        <v>0</v>
      </c>
      <c r="V24" s="168">
        <f>'NOV 25'!E31</f>
        <v>550</v>
      </c>
      <c r="W24" s="173">
        <v>0</v>
      </c>
      <c r="X24" s="12">
        <f>'LANDLORD ACC DETAILED VIEW-LEVY'!G98</f>
        <v>1487.52</v>
      </c>
      <c r="Y24" s="181">
        <v>0</v>
      </c>
    </row>
    <row r="25" spans="1:25" s="13" customFormat="1" ht="16.2" thickBot="1" x14ac:dyDescent="0.35">
      <c r="A25" s="10"/>
      <c r="B25" s="16"/>
      <c r="C25" s="70"/>
      <c r="D25" s="24"/>
      <c r="E25" s="24"/>
      <c r="F25" s="29"/>
      <c r="G25" s="29"/>
      <c r="H25" s="29"/>
      <c r="I25" s="29"/>
      <c r="J25" s="29"/>
      <c r="K25" s="29"/>
      <c r="L25" s="29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0"/>
    </row>
    <row r="26" spans="1:25" s="20" customFormat="1" ht="16.2" thickBot="1" x14ac:dyDescent="0.35">
      <c r="A26" s="17" t="s">
        <v>3</v>
      </c>
      <c r="B26" s="18">
        <f t="shared" ref="B26:Y26" si="1">SUM(B23:B25)</f>
        <v>745</v>
      </c>
      <c r="C26" s="19">
        <f t="shared" si="1"/>
        <v>0</v>
      </c>
      <c r="D26" s="18">
        <f>SUM(D23:D25)</f>
        <v>1055.317</v>
      </c>
      <c r="E26" s="19">
        <f t="shared" si="1"/>
        <v>0</v>
      </c>
      <c r="F26" s="18">
        <f>SUM(F23:F25)</f>
        <v>1064.712</v>
      </c>
      <c r="G26" s="19">
        <f t="shared" si="1"/>
        <v>0</v>
      </c>
      <c r="H26" s="18">
        <f>SUM(H23:H25)</f>
        <v>1026.626</v>
      </c>
      <c r="I26" s="19">
        <f t="shared" si="1"/>
        <v>0</v>
      </c>
      <c r="J26" s="19">
        <f t="shared" si="1"/>
        <v>565.07099999999991</v>
      </c>
      <c r="K26" s="19">
        <f t="shared" si="1"/>
        <v>0</v>
      </c>
      <c r="L26" s="19">
        <f t="shared" si="1"/>
        <v>763.91429999999991</v>
      </c>
      <c r="M26" s="19">
        <f t="shared" si="1"/>
        <v>0</v>
      </c>
      <c r="N26" s="19">
        <f t="shared" si="1"/>
        <v>417.81229999999982</v>
      </c>
      <c r="O26" s="19">
        <f t="shared" si="1"/>
        <v>0</v>
      </c>
      <c r="P26" s="19">
        <f t="shared" si="1"/>
        <v>288.54149999999981</v>
      </c>
      <c r="Q26" s="19">
        <f t="shared" si="1"/>
        <v>0</v>
      </c>
      <c r="R26" s="19">
        <f t="shared" si="1"/>
        <v>398.97649999999976</v>
      </c>
      <c r="S26" s="19">
        <f t="shared" si="1"/>
        <v>0</v>
      </c>
      <c r="T26" s="19">
        <f t="shared" si="1"/>
        <v>1113.4014999999997</v>
      </c>
      <c r="U26" s="19">
        <f t="shared" si="1"/>
        <v>0</v>
      </c>
      <c r="V26" s="19">
        <f t="shared" si="1"/>
        <v>599.05449999999973</v>
      </c>
      <c r="W26" s="19">
        <f t="shared" si="1"/>
        <v>0</v>
      </c>
      <c r="X26" s="19">
        <f t="shared" si="1"/>
        <v>1151.0194999999997</v>
      </c>
      <c r="Y26" s="19">
        <f t="shared" si="1"/>
        <v>0</v>
      </c>
    </row>
    <row r="27" spans="1:25" ht="15.6" x14ac:dyDescent="0.3">
      <c r="A27" s="21"/>
      <c r="B27" s="22"/>
      <c r="C27" s="26"/>
      <c r="D27" s="24"/>
      <c r="E27" s="24"/>
      <c r="F27" s="29"/>
      <c r="G27" s="3"/>
      <c r="H27" s="29"/>
      <c r="I27" s="29"/>
      <c r="J27" s="29"/>
      <c r="K27" s="29"/>
      <c r="L27" s="29"/>
      <c r="M27" s="168"/>
      <c r="N27" s="168"/>
      <c r="O27" s="168"/>
      <c r="P27" s="168"/>
      <c r="Q27" s="168"/>
      <c r="R27" s="168"/>
      <c r="S27" s="168"/>
      <c r="T27" s="168"/>
      <c r="U27" s="168"/>
      <c r="V27" s="173"/>
      <c r="W27" s="168"/>
      <c r="X27" s="168"/>
      <c r="Y27" s="158"/>
    </row>
    <row r="28" spans="1:25" s="9" customFormat="1" ht="18" x14ac:dyDescent="0.35">
      <c r="A28" s="23" t="s">
        <v>4</v>
      </c>
      <c r="B28" s="24"/>
      <c r="C28" s="71"/>
      <c r="D28" s="24"/>
      <c r="E28" s="24"/>
      <c r="F28" s="29"/>
      <c r="G28" s="163"/>
      <c r="H28" s="29"/>
      <c r="I28" s="29"/>
      <c r="J28" s="29"/>
      <c r="K28" s="29"/>
      <c r="L28" s="29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59"/>
    </row>
    <row r="29" spans="1:25" s="9" customFormat="1" ht="15.75" customHeight="1" x14ac:dyDescent="0.35">
      <c r="A29" s="10" t="s">
        <v>34</v>
      </c>
      <c r="B29" s="11">
        <f>50+80</f>
        <v>130</v>
      </c>
      <c r="C29" s="12">
        <v>0</v>
      </c>
      <c r="D29" s="11">
        <v>0</v>
      </c>
      <c r="E29" s="11">
        <v>0</v>
      </c>
      <c r="F29" s="29">
        <f>30+140+276</f>
        <v>446</v>
      </c>
      <c r="G29" s="167">
        <v>0</v>
      </c>
      <c r="H29" s="29">
        <v>275</v>
      </c>
      <c r="I29" s="166">
        <v>0</v>
      </c>
      <c r="J29" s="29">
        <f>45+15+58</f>
        <v>118</v>
      </c>
      <c r="K29" s="166">
        <v>0</v>
      </c>
      <c r="L29" s="29">
        <f>58+20</f>
        <v>78</v>
      </c>
      <c r="M29" s="173">
        <v>0</v>
      </c>
      <c r="N29" s="168">
        <f>63+67</f>
        <v>130</v>
      </c>
      <c r="O29" s="173">
        <v>0</v>
      </c>
      <c r="P29" s="173">
        <v>0</v>
      </c>
      <c r="Q29" s="173">
        <v>0</v>
      </c>
      <c r="R29" s="173">
        <v>0</v>
      </c>
      <c r="S29" s="173">
        <v>0</v>
      </c>
      <c r="T29" s="168">
        <f>138+20</f>
        <v>158</v>
      </c>
      <c r="U29" s="173">
        <v>0</v>
      </c>
      <c r="V29" s="168">
        <v>60</v>
      </c>
      <c r="W29" s="173">
        <v>0</v>
      </c>
      <c r="X29" s="173">
        <v>0</v>
      </c>
      <c r="Y29" s="182">
        <v>0</v>
      </c>
    </row>
    <row r="30" spans="1:25" s="9" customFormat="1" ht="15.75" customHeight="1" x14ac:dyDescent="0.35">
      <c r="A30" s="10" t="s">
        <v>180</v>
      </c>
      <c r="B30" s="11">
        <v>0</v>
      </c>
      <c r="C30" s="12">
        <v>0</v>
      </c>
      <c r="D30" s="11">
        <v>150</v>
      </c>
      <c r="E30" s="11">
        <v>0</v>
      </c>
      <c r="F30" s="29"/>
      <c r="G30" s="167">
        <v>0</v>
      </c>
      <c r="H30" s="29"/>
      <c r="I30" s="166">
        <v>0</v>
      </c>
      <c r="J30" s="29"/>
      <c r="K30" s="166">
        <v>0</v>
      </c>
      <c r="L30" s="29">
        <v>200</v>
      </c>
      <c r="M30" s="173">
        <v>0</v>
      </c>
      <c r="N30" s="173">
        <v>0</v>
      </c>
      <c r="O30" s="173">
        <v>0</v>
      </c>
      <c r="P30" s="173">
        <v>0</v>
      </c>
      <c r="Q30" s="173">
        <v>0</v>
      </c>
      <c r="R30" s="168">
        <v>10</v>
      </c>
      <c r="S30" s="173">
        <v>0</v>
      </c>
      <c r="T30" s="173">
        <v>0</v>
      </c>
      <c r="U30" s="173">
        <v>0</v>
      </c>
      <c r="V30" s="168">
        <v>200</v>
      </c>
      <c r="W30" s="173">
        <v>0</v>
      </c>
      <c r="X30" s="173">
        <v>0</v>
      </c>
      <c r="Y30" s="182">
        <v>0</v>
      </c>
    </row>
    <row r="31" spans="1:25" s="9" customFormat="1" ht="15.75" customHeight="1" x14ac:dyDescent="0.35">
      <c r="A31" s="10" t="s">
        <v>129</v>
      </c>
      <c r="B31" s="11">
        <v>10</v>
      </c>
      <c r="C31" s="12">
        <v>0</v>
      </c>
      <c r="D31" s="11">
        <v>0</v>
      </c>
      <c r="E31" s="11">
        <v>0</v>
      </c>
      <c r="F31" s="29">
        <v>13</v>
      </c>
      <c r="G31" s="167">
        <v>0</v>
      </c>
      <c r="H31" s="29">
        <v>5</v>
      </c>
      <c r="I31" s="166">
        <v>0</v>
      </c>
      <c r="J31" s="29"/>
      <c r="K31" s="166">
        <v>0</v>
      </c>
      <c r="L31" s="29"/>
      <c r="M31" s="173">
        <v>0</v>
      </c>
      <c r="N31" s="173">
        <v>0</v>
      </c>
      <c r="O31" s="173">
        <v>0</v>
      </c>
      <c r="P31" s="177">
        <v>0</v>
      </c>
      <c r="Q31" s="173">
        <v>0</v>
      </c>
      <c r="R31" s="173">
        <v>0</v>
      </c>
      <c r="S31" s="173">
        <v>0</v>
      </c>
      <c r="T31" s="168">
        <v>2.7</v>
      </c>
      <c r="U31" s="173">
        <v>0</v>
      </c>
      <c r="V31" s="173">
        <v>0</v>
      </c>
      <c r="W31" s="173">
        <v>0</v>
      </c>
      <c r="X31" s="183">
        <v>95.5</v>
      </c>
      <c r="Y31" s="182">
        <v>0</v>
      </c>
    </row>
    <row r="32" spans="1:25" s="9" customFormat="1" ht="15.75" customHeight="1" x14ac:dyDescent="0.35">
      <c r="A32" s="10" t="s">
        <v>36</v>
      </c>
      <c r="B32" s="11">
        <f>456+34.11</f>
        <v>490.11</v>
      </c>
      <c r="C32" s="12">
        <v>0</v>
      </c>
      <c r="D32" s="11">
        <v>543</v>
      </c>
      <c r="E32" s="11">
        <v>0</v>
      </c>
      <c r="F32" s="29"/>
      <c r="G32" s="167">
        <v>0</v>
      </c>
      <c r="H32" s="29">
        <f>543+543</f>
        <v>1086</v>
      </c>
      <c r="I32" s="166">
        <v>0</v>
      </c>
      <c r="J32" s="29">
        <v>543</v>
      </c>
      <c r="K32" s="166">
        <v>0</v>
      </c>
      <c r="L32" s="29">
        <v>543</v>
      </c>
      <c r="M32" s="173">
        <v>0</v>
      </c>
      <c r="N32" s="168">
        <v>543</v>
      </c>
      <c r="O32" s="173">
        <v>0</v>
      </c>
      <c r="P32" s="173">
        <v>0</v>
      </c>
      <c r="Q32" s="173">
        <v>0</v>
      </c>
      <c r="R32" s="168">
        <v>543</v>
      </c>
      <c r="S32" s="173">
        <v>0</v>
      </c>
      <c r="T32" s="168">
        <v>543</v>
      </c>
      <c r="U32" s="173">
        <v>0</v>
      </c>
      <c r="V32" s="168">
        <v>543</v>
      </c>
      <c r="W32" s="173">
        <v>0</v>
      </c>
      <c r="X32" s="168">
        <v>543</v>
      </c>
      <c r="Y32" s="182">
        <v>0</v>
      </c>
    </row>
    <row r="33" spans="1:25" s="9" customFormat="1" ht="15.75" customHeight="1" x14ac:dyDescent="0.35">
      <c r="A33" s="10" t="s">
        <v>319</v>
      </c>
      <c r="B33" s="11"/>
      <c r="C33" s="12"/>
      <c r="D33" s="11"/>
      <c r="E33" s="11"/>
      <c r="F33" s="29"/>
      <c r="G33" s="167"/>
      <c r="H33" s="29"/>
      <c r="I33" s="166"/>
      <c r="J33" s="29"/>
      <c r="K33" s="166"/>
      <c r="L33" s="29"/>
      <c r="M33" s="173"/>
      <c r="N33" s="168"/>
      <c r="O33" s="173"/>
      <c r="P33" s="173"/>
      <c r="Q33" s="173"/>
      <c r="R33" s="168">
        <v>90</v>
      </c>
      <c r="S33" s="173">
        <v>0</v>
      </c>
      <c r="T33" s="173">
        <v>0</v>
      </c>
      <c r="U33" s="173">
        <v>0</v>
      </c>
      <c r="V33" s="173">
        <v>0</v>
      </c>
      <c r="W33" s="173">
        <v>0</v>
      </c>
      <c r="X33" s="173">
        <v>0</v>
      </c>
      <c r="Y33" s="182">
        <v>0</v>
      </c>
    </row>
    <row r="34" spans="1:25" s="9" customFormat="1" ht="15.75" customHeight="1" x14ac:dyDescent="0.35">
      <c r="A34" s="10" t="s">
        <v>379</v>
      </c>
      <c r="B34" s="11"/>
      <c r="C34" s="12"/>
      <c r="D34" s="11"/>
      <c r="E34" s="11"/>
      <c r="F34" s="29"/>
      <c r="G34" s="167">
        <v>0</v>
      </c>
      <c r="H34" s="29">
        <v>80</v>
      </c>
      <c r="I34" s="166">
        <v>0</v>
      </c>
      <c r="J34" s="29"/>
      <c r="K34" s="166">
        <v>0</v>
      </c>
      <c r="L34" s="29">
        <v>80</v>
      </c>
      <c r="M34" s="173">
        <v>0</v>
      </c>
      <c r="N34" s="173">
        <v>0</v>
      </c>
      <c r="O34" s="173">
        <v>0</v>
      </c>
      <c r="P34" s="168">
        <v>542</v>
      </c>
      <c r="Q34" s="173">
        <v>0</v>
      </c>
      <c r="R34" s="173">
        <v>0</v>
      </c>
      <c r="S34" s="173">
        <v>0</v>
      </c>
      <c r="T34" s="168">
        <f>50+90</f>
        <v>140</v>
      </c>
      <c r="U34" s="173">
        <v>0</v>
      </c>
      <c r="V34" s="168">
        <v>50</v>
      </c>
      <c r="W34" s="173">
        <v>0</v>
      </c>
      <c r="X34" s="173">
        <v>0</v>
      </c>
      <c r="Y34" s="182">
        <v>0</v>
      </c>
    </row>
    <row r="35" spans="1:25" s="13" customFormat="1" ht="15.75" customHeight="1" x14ac:dyDescent="0.3">
      <c r="A35" s="10" t="s">
        <v>5</v>
      </c>
      <c r="B35" s="11">
        <f t="shared" ref="B35:Y35" si="2">0.1501*B24</f>
        <v>109.57300000000001</v>
      </c>
      <c r="C35" s="11">
        <f t="shared" si="2"/>
        <v>0</v>
      </c>
      <c r="D35" s="11">
        <f t="shared" si="2"/>
        <v>157.60500000000002</v>
      </c>
      <c r="E35" s="11">
        <f t="shared" si="2"/>
        <v>0</v>
      </c>
      <c r="F35" s="11">
        <f t="shared" si="2"/>
        <v>129.08600000000001</v>
      </c>
      <c r="G35" s="11">
        <f t="shared" si="2"/>
        <v>0</v>
      </c>
      <c r="H35" s="11">
        <f t="shared" si="2"/>
        <v>82.555000000000007</v>
      </c>
      <c r="I35" s="166">
        <v>0</v>
      </c>
      <c r="J35" s="11">
        <f t="shared" si="2"/>
        <v>160.1567</v>
      </c>
      <c r="K35" s="11">
        <f t="shared" si="2"/>
        <v>0</v>
      </c>
      <c r="L35" s="11">
        <f t="shared" si="2"/>
        <v>153.102</v>
      </c>
      <c r="M35" s="11">
        <f t="shared" si="2"/>
        <v>0</v>
      </c>
      <c r="N35" s="11">
        <f t="shared" si="2"/>
        <v>106.27080000000001</v>
      </c>
      <c r="O35" s="11">
        <f t="shared" si="2"/>
        <v>0</v>
      </c>
      <c r="P35" s="11">
        <f t="shared" si="2"/>
        <v>97.565000000000012</v>
      </c>
      <c r="Q35" s="11">
        <f t="shared" si="2"/>
        <v>0</v>
      </c>
      <c r="R35" s="11">
        <f t="shared" si="2"/>
        <v>112.575</v>
      </c>
      <c r="S35" s="11">
        <f t="shared" si="2"/>
        <v>0</v>
      </c>
      <c r="T35" s="11">
        <f t="shared" si="2"/>
        <v>220.64700000000002</v>
      </c>
      <c r="U35" s="11">
        <f t="shared" si="2"/>
        <v>0</v>
      </c>
      <c r="V35" s="11">
        <f t="shared" si="2"/>
        <v>82.555000000000007</v>
      </c>
      <c r="W35" s="11">
        <f t="shared" si="2"/>
        <v>0</v>
      </c>
      <c r="X35" s="11">
        <f t="shared" si="2"/>
        <v>223.27675200000002</v>
      </c>
      <c r="Y35" s="11">
        <f t="shared" si="2"/>
        <v>0</v>
      </c>
    </row>
    <row r="36" spans="1:25" s="13" customFormat="1" ht="15.75" customHeight="1" thickBot="1" x14ac:dyDescent="0.35">
      <c r="A36" s="10"/>
      <c r="B36" s="16"/>
      <c r="C36" s="70"/>
      <c r="D36" s="16"/>
      <c r="E36" s="16"/>
      <c r="F36" s="97"/>
      <c r="G36" s="97"/>
      <c r="H36" s="97"/>
      <c r="I36" s="97"/>
      <c r="J36" s="97"/>
      <c r="K36" s="97"/>
      <c r="L36" s="97"/>
      <c r="M36" s="97"/>
      <c r="N36" s="175"/>
      <c r="O36" s="97"/>
      <c r="P36" s="175"/>
      <c r="Q36" s="97"/>
      <c r="R36" s="175"/>
      <c r="S36" s="97"/>
      <c r="T36" s="175"/>
      <c r="U36" s="97"/>
      <c r="V36" s="97"/>
      <c r="W36" s="97"/>
      <c r="X36" s="175"/>
      <c r="Y36" s="180"/>
    </row>
    <row r="37" spans="1:25" s="13" customFormat="1" ht="15.75" customHeight="1" x14ac:dyDescent="0.3">
      <c r="A37" s="25" t="s">
        <v>6</v>
      </c>
      <c r="B37" s="22">
        <f t="shared" ref="B37:W37" si="3">SUM(B29:B36)</f>
        <v>739.68299999999999</v>
      </c>
      <c r="C37" s="26">
        <f t="shared" si="3"/>
        <v>0</v>
      </c>
      <c r="D37" s="22">
        <f t="shared" si="3"/>
        <v>850.60500000000002</v>
      </c>
      <c r="E37" s="26">
        <f t="shared" si="3"/>
        <v>0</v>
      </c>
      <c r="F37" s="22">
        <f t="shared" si="3"/>
        <v>588.08600000000001</v>
      </c>
      <c r="G37" s="26">
        <f t="shared" si="3"/>
        <v>0</v>
      </c>
      <c r="H37" s="22">
        <f t="shared" si="3"/>
        <v>1528.5550000000001</v>
      </c>
      <c r="I37" s="26">
        <f t="shared" si="3"/>
        <v>0</v>
      </c>
      <c r="J37" s="26">
        <f t="shared" si="3"/>
        <v>821.1567</v>
      </c>
      <c r="K37" s="26">
        <f t="shared" si="3"/>
        <v>0</v>
      </c>
      <c r="L37" s="26">
        <f t="shared" si="3"/>
        <v>1054.1020000000001</v>
      </c>
      <c r="M37" s="26">
        <f t="shared" si="3"/>
        <v>0</v>
      </c>
      <c r="N37" s="26">
        <f t="shared" si="3"/>
        <v>779.27080000000001</v>
      </c>
      <c r="O37" s="26">
        <f t="shared" si="3"/>
        <v>0</v>
      </c>
      <c r="P37" s="26">
        <f t="shared" si="3"/>
        <v>639.56500000000005</v>
      </c>
      <c r="Q37" s="26">
        <f t="shared" si="3"/>
        <v>0</v>
      </c>
      <c r="R37" s="26">
        <f t="shared" si="3"/>
        <v>755.57500000000005</v>
      </c>
      <c r="S37" s="26">
        <f t="shared" si="3"/>
        <v>0</v>
      </c>
      <c r="T37" s="26">
        <f t="shared" si="3"/>
        <v>1064.347</v>
      </c>
      <c r="U37" s="26">
        <f t="shared" si="3"/>
        <v>0</v>
      </c>
      <c r="V37" s="26">
        <f t="shared" si="3"/>
        <v>935.55500000000006</v>
      </c>
      <c r="W37" s="26">
        <f t="shared" si="3"/>
        <v>0</v>
      </c>
      <c r="X37" s="26">
        <f t="shared" ref="X37:Y37" si="4">SUM(X29:X36)</f>
        <v>861.77675199999999</v>
      </c>
      <c r="Y37" s="26">
        <f t="shared" si="4"/>
        <v>0</v>
      </c>
    </row>
    <row r="38" spans="1:25" s="13" customFormat="1" ht="15.75" customHeight="1" x14ac:dyDescent="0.3">
      <c r="A38" s="27"/>
      <c r="B38" s="24"/>
      <c r="C38" s="71"/>
      <c r="D38" s="24"/>
      <c r="E38" s="24"/>
      <c r="F38" s="29"/>
      <c r="G38" s="29"/>
      <c r="H38" s="29"/>
      <c r="I38" s="29"/>
      <c r="J38" s="29"/>
      <c r="K38" s="29"/>
      <c r="L38" s="29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</row>
    <row r="39" spans="1:25" s="13" customFormat="1" ht="15.75" customHeight="1" thickBot="1" x14ac:dyDescent="0.35">
      <c r="A39" s="28" t="s">
        <v>7</v>
      </c>
      <c r="B39" s="154">
        <f t="shared" ref="B39:Y39" si="5">B26-B37</f>
        <v>5.3170000000000073</v>
      </c>
      <c r="C39" s="155">
        <f t="shared" si="5"/>
        <v>0</v>
      </c>
      <c r="D39" s="154">
        <f t="shared" si="5"/>
        <v>204.71199999999999</v>
      </c>
      <c r="E39" s="155">
        <f t="shared" si="5"/>
        <v>0</v>
      </c>
      <c r="F39" s="154">
        <f t="shared" si="5"/>
        <v>476.62599999999998</v>
      </c>
      <c r="G39" s="155">
        <f t="shared" si="5"/>
        <v>0</v>
      </c>
      <c r="H39" s="154">
        <f t="shared" si="5"/>
        <v>-501.92900000000009</v>
      </c>
      <c r="I39" s="155">
        <f t="shared" si="5"/>
        <v>0</v>
      </c>
      <c r="J39" s="155">
        <f t="shared" si="5"/>
        <v>-256.08570000000009</v>
      </c>
      <c r="K39" s="155">
        <f t="shared" si="5"/>
        <v>0</v>
      </c>
      <c r="L39" s="155">
        <f t="shared" si="5"/>
        <v>-290.18770000000018</v>
      </c>
      <c r="M39" s="155">
        <f t="shared" si="5"/>
        <v>0</v>
      </c>
      <c r="N39" s="155">
        <f t="shared" si="5"/>
        <v>-361.45850000000019</v>
      </c>
      <c r="O39" s="155">
        <f t="shared" si="5"/>
        <v>0</v>
      </c>
      <c r="P39" s="155">
        <f t="shared" si="5"/>
        <v>-351.02350000000024</v>
      </c>
      <c r="Q39" s="155">
        <f t="shared" si="5"/>
        <v>0</v>
      </c>
      <c r="R39" s="155">
        <f t="shared" si="5"/>
        <v>-356.59850000000029</v>
      </c>
      <c r="S39" s="155">
        <f t="shared" si="5"/>
        <v>0</v>
      </c>
      <c r="T39" s="155">
        <f t="shared" si="5"/>
        <v>49.054499999999734</v>
      </c>
      <c r="U39" s="155">
        <f t="shared" si="5"/>
        <v>0</v>
      </c>
      <c r="V39" s="155">
        <f t="shared" si="5"/>
        <v>-336.50050000000033</v>
      </c>
      <c r="W39" s="155">
        <f t="shared" si="5"/>
        <v>0</v>
      </c>
      <c r="X39" s="155">
        <f t="shared" si="5"/>
        <v>289.24274799999966</v>
      </c>
      <c r="Y39" s="155">
        <f t="shared" si="5"/>
        <v>0</v>
      </c>
    </row>
    <row r="40" spans="1:25" ht="15.75" customHeight="1" x14ac:dyDescent="0.3">
      <c r="A40" s="91"/>
      <c r="B40" s="89"/>
      <c r="C40" s="90"/>
      <c r="D40" s="103"/>
      <c r="E40" s="103"/>
      <c r="F40" s="29"/>
      <c r="G40" s="3"/>
      <c r="H40" s="29"/>
      <c r="I40" s="29"/>
      <c r="J40" s="29"/>
      <c r="K40" s="29"/>
      <c r="L40" s="29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58"/>
    </row>
    <row r="41" spans="1:25" ht="15.75" customHeight="1" x14ac:dyDescent="0.3">
      <c r="A41" s="142" t="s">
        <v>357</v>
      </c>
      <c r="B41" s="74"/>
      <c r="C41" s="74"/>
      <c r="D41" s="92"/>
      <c r="E41" s="92"/>
      <c r="F41" s="29"/>
      <c r="G41" s="3"/>
      <c r="H41" s="29"/>
      <c r="I41" s="29"/>
      <c r="J41" s="29"/>
      <c r="K41" s="29"/>
      <c r="L41" s="29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58"/>
    </row>
    <row r="42" spans="1:25" ht="15.75" customHeight="1" x14ac:dyDescent="0.3">
      <c r="A42" s="143"/>
      <c r="B42" s="74"/>
      <c r="C42" s="74"/>
      <c r="D42" s="92"/>
      <c r="E42" s="92"/>
      <c r="F42" s="29"/>
      <c r="G42" s="3"/>
      <c r="H42" s="98"/>
      <c r="I42" s="98"/>
      <c r="J42" s="29"/>
      <c r="K42" s="29"/>
      <c r="L42" s="29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58"/>
    </row>
    <row r="43" spans="1:25" ht="15.75" customHeight="1" x14ac:dyDescent="0.3">
      <c r="A43" s="100" t="s">
        <v>0</v>
      </c>
      <c r="B43" s="144" t="s">
        <v>1</v>
      </c>
      <c r="C43" s="144" t="s">
        <v>38</v>
      </c>
      <c r="D43" s="92"/>
      <c r="E43" s="92"/>
      <c r="F43" s="102"/>
      <c r="G43" s="98"/>
      <c r="H43" s="98"/>
      <c r="I43" s="98"/>
      <c r="J43" s="98"/>
      <c r="K43" s="98"/>
      <c r="L43" s="98"/>
      <c r="M43" s="158"/>
      <c r="N43" s="158"/>
      <c r="O43" s="158"/>
      <c r="P43" s="158"/>
      <c r="Q43" s="158"/>
      <c r="R43" s="158"/>
      <c r="S43" s="158"/>
      <c r="T43" s="168"/>
      <c r="U43" s="158"/>
      <c r="V43" s="158"/>
      <c r="W43" s="158"/>
      <c r="X43" s="158"/>
      <c r="Y43" s="158"/>
    </row>
    <row r="44" spans="1:25" ht="15.75" customHeight="1" x14ac:dyDescent="0.3">
      <c r="A44" s="145" t="s">
        <v>2</v>
      </c>
      <c r="B44" s="96">
        <f>B23</f>
        <v>15</v>
      </c>
      <c r="C44" s="146">
        <f>C23</f>
        <v>0</v>
      </c>
      <c r="D44" s="92"/>
      <c r="E44" s="92"/>
      <c r="F44" s="102"/>
      <c r="G44" s="98"/>
      <c r="H44" s="98"/>
      <c r="I44" s="98"/>
      <c r="J44" s="98"/>
      <c r="K44" s="98"/>
      <c r="L44" s="98"/>
      <c r="M44" s="158"/>
      <c r="N44" s="158"/>
      <c r="O44" s="158"/>
      <c r="P44" s="158"/>
      <c r="Q44" s="158"/>
      <c r="R44" s="158"/>
      <c r="S44" s="158"/>
      <c r="T44" s="168"/>
      <c r="U44" s="158"/>
      <c r="V44" s="158"/>
      <c r="W44" s="158"/>
      <c r="X44" s="158"/>
      <c r="Y44" s="158"/>
    </row>
    <row r="45" spans="1:25" ht="15.75" customHeight="1" thickBot="1" x14ac:dyDescent="0.35">
      <c r="A45" s="145" t="s">
        <v>35</v>
      </c>
      <c r="B45" s="147">
        <f>B24+D24+F24+H24+J24+L24+N24+P24+R24+T24+V24+X24</f>
        <v>10892.52</v>
      </c>
      <c r="C45" s="148">
        <v>0</v>
      </c>
      <c r="D45" s="92"/>
      <c r="E45" s="92"/>
      <c r="F45" s="102"/>
      <c r="G45" s="98"/>
      <c r="H45" s="98"/>
      <c r="I45" s="98"/>
      <c r="J45" s="98"/>
      <c r="K45" s="98"/>
      <c r="L45" s="98"/>
      <c r="M45" s="158"/>
      <c r="N45" s="158"/>
      <c r="O45" s="158"/>
      <c r="P45" s="158"/>
      <c r="Q45" s="158"/>
      <c r="R45" s="158"/>
      <c r="S45" s="158"/>
      <c r="T45" s="168"/>
      <c r="U45" s="158"/>
      <c r="V45" s="158"/>
      <c r="W45" s="158"/>
      <c r="X45" s="158"/>
      <c r="Y45" s="158"/>
    </row>
    <row r="46" spans="1:25" ht="15.75" customHeight="1" x14ac:dyDescent="0.3">
      <c r="A46" s="30" t="s">
        <v>146</v>
      </c>
      <c r="B46" s="149">
        <f>SUM(B44:B45)</f>
        <v>10907.52</v>
      </c>
      <c r="C46" s="149">
        <f>SUM(C44:C45)</f>
        <v>0</v>
      </c>
      <c r="D46" s="92"/>
      <c r="E46" s="92"/>
      <c r="F46" s="102"/>
      <c r="G46" s="98"/>
      <c r="H46" s="98"/>
      <c r="I46" s="98"/>
      <c r="J46" s="98"/>
      <c r="K46" s="98"/>
      <c r="L46" s="98"/>
      <c r="M46" s="158"/>
      <c r="N46" s="158"/>
      <c r="O46" s="158"/>
      <c r="P46" s="158"/>
      <c r="Q46" s="158"/>
      <c r="R46" s="158"/>
      <c r="S46" s="158"/>
      <c r="T46" s="168"/>
      <c r="U46" s="158"/>
      <c r="V46" s="158"/>
      <c r="W46" s="158"/>
      <c r="X46" s="158"/>
      <c r="Y46" s="158"/>
    </row>
    <row r="47" spans="1:25" ht="15.75" customHeight="1" x14ac:dyDescent="0.3">
      <c r="A47" s="143"/>
      <c r="B47" s="74"/>
      <c r="C47" s="74"/>
      <c r="D47" s="92"/>
      <c r="E47" s="92"/>
      <c r="F47" s="102"/>
      <c r="G47" s="98"/>
      <c r="H47" s="98"/>
      <c r="I47" s="98"/>
      <c r="J47" s="98"/>
      <c r="K47" s="98"/>
      <c r="L47" s="98"/>
      <c r="M47" s="158"/>
      <c r="N47" s="158"/>
      <c r="O47" s="158"/>
      <c r="P47" s="158"/>
      <c r="Q47" s="158"/>
      <c r="R47" s="158"/>
      <c r="S47" s="158"/>
      <c r="T47" s="168"/>
      <c r="U47" s="158"/>
      <c r="V47" s="158"/>
      <c r="W47" s="158"/>
      <c r="X47" s="158"/>
      <c r="Y47" s="158"/>
    </row>
    <row r="48" spans="1:25" ht="15.75" customHeight="1" x14ac:dyDescent="0.3">
      <c r="A48" s="150" t="s">
        <v>147</v>
      </c>
      <c r="B48" s="74"/>
      <c r="C48" s="74"/>
      <c r="D48" s="92"/>
      <c r="E48" s="92"/>
      <c r="F48" s="102"/>
      <c r="G48" s="98"/>
      <c r="H48" s="98"/>
      <c r="I48" s="98"/>
      <c r="J48" s="98"/>
      <c r="K48" s="98"/>
      <c r="L48" s="98"/>
      <c r="M48" s="158"/>
      <c r="N48" s="158"/>
      <c r="O48" s="158"/>
      <c r="P48" s="158"/>
      <c r="Q48" s="158"/>
      <c r="R48" s="158"/>
      <c r="S48" s="158"/>
      <c r="T48" s="168"/>
      <c r="U48" s="158"/>
      <c r="V48" s="158"/>
      <c r="W48" s="158"/>
      <c r="X48" s="158"/>
      <c r="Y48" s="158"/>
    </row>
    <row r="49" spans="1:25" ht="15.75" customHeight="1" x14ac:dyDescent="0.3">
      <c r="A49" s="10" t="s">
        <v>34</v>
      </c>
      <c r="B49" s="151">
        <f>B29+D29+F29+H29+J29+L29+N29+P29+R29+T29+V29+X29</f>
        <v>1395</v>
      </c>
      <c r="C49" s="151">
        <v>0</v>
      </c>
      <c r="D49" s="92"/>
      <c r="E49" s="92"/>
      <c r="F49" s="102"/>
      <c r="G49" s="98"/>
      <c r="H49" s="98"/>
      <c r="I49" s="98"/>
      <c r="J49" s="98"/>
      <c r="K49" s="98"/>
      <c r="L49" s="98"/>
      <c r="M49" s="158"/>
      <c r="N49" s="158"/>
      <c r="O49" s="158"/>
      <c r="P49" s="158"/>
      <c r="Q49" s="158"/>
      <c r="R49" s="158"/>
      <c r="S49" s="158"/>
      <c r="T49" s="168"/>
      <c r="U49" s="158"/>
      <c r="V49" s="158"/>
      <c r="W49" s="158"/>
      <c r="X49" s="158"/>
      <c r="Y49" s="158"/>
    </row>
    <row r="50" spans="1:25" ht="15.75" customHeight="1" x14ac:dyDescent="0.3">
      <c r="A50" s="10" t="s">
        <v>180</v>
      </c>
      <c r="B50" s="151">
        <f t="shared" ref="B50:B55" si="6">B30+D30+F30+H30+J30+L30+N30+P30+R30+T30+V30+X30</f>
        <v>560</v>
      </c>
      <c r="C50" s="151">
        <v>0</v>
      </c>
      <c r="D50" s="92"/>
      <c r="E50" s="92"/>
      <c r="F50" s="102"/>
      <c r="G50" s="98"/>
      <c r="H50" s="98"/>
      <c r="I50" s="98"/>
      <c r="J50" s="98"/>
      <c r="K50" s="98"/>
      <c r="L50" s="98"/>
      <c r="M50" s="158"/>
      <c r="N50" s="158"/>
      <c r="O50" s="158"/>
      <c r="P50" s="158"/>
      <c r="Q50" s="158"/>
      <c r="R50" s="158"/>
      <c r="S50" s="158"/>
      <c r="T50" s="168"/>
      <c r="U50" s="158"/>
      <c r="V50" s="158"/>
      <c r="W50" s="158"/>
      <c r="X50" s="158"/>
      <c r="Y50" s="158"/>
    </row>
    <row r="51" spans="1:25" ht="15.75" customHeight="1" x14ac:dyDescent="0.3">
      <c r="A51" s="10" t="s">
        <v>129</v>
      </c>
      <c r="B51" s="151">
        <f t="shared" si="6"/>
        <v>126.2</v>
      </c>
      <c r="C51" s="151"/>
      <c r="D51" s="92"/>
      <c r="E51" s="92"/>
      <c r="F51" s="102"/>
      <c r="G51" s="98"/>
      <c r="H51" s="98"/>
      <c r="I51" s="98"/>
      <c r="J51" s="98"/>
      <c r="K51" s="98"/>
      <c r="L51" s="98"/>
      <c r="M51" s="158"/>
      <c r="N51" s="158"/>
      <c r="O51" s="158"/>
      <c r="P51" s="158"/>
      <c r="Q51" s="158"/>
      <c r="R51" s="158"/>
      <c r="S51" s="158"/>
      <c r="T51" s="168"/>
      <c r="U51" s="158"/>
      <c r="V51" s="158"/>
      <c r="W51" s="158"/>
      <c r="X51" s="158"/>
      <c r="Y51" s="158"/>
    </row>
    <row r="52" spans="1:25" ht="15.75" customHeight="1" x14ac:dyDescent="0.3">
      <c r="A52" s="10" t="s">
        <v>36</v>
      </c>
      <c r="B52" s="151">
        <f t="shared" si="6"/>
        <v>5920.1100000000006</v>
      </c>
      <c r="C52" s="151">
        <v>0</v>
      </c>
      <c r="D52" s="92"/>
      <c r="E52" s="92"/>
      <c r="F52" s="102"/>
      <c r="G52" s="98"/>
      <c r="H52" s="98"/>
      <c r="I52" s="98"/>
      <c r="J52" s="98"/>
      <c r="K52" s="98"/>
      <c r="L52" s="98"/>
      <c r="M52" s="158"/>
      <c r="N52" s="158"/>
      <c r="O52" s="158"/>
      <c r="P52" s="158"/>
      <c r="Q52" s="158"/>
      <c r="R52" s="158"/>
      <c r="S52" s="158"/>
      <c r="T52" s="168"/>
      <c r="U52" s="158"/>
      <c r="V52" s="158"/>
      <c r="W52" s="158"/>
      <c r="X52" s="158"/>
      <c r="Y52" s="158"/>
    </row>
    <row r="53" spans="1:25" ht="15.75" customHeight="1" x14ac:dyDescent="0.3">
      <c r="A53" s="10" t="s">
        <v>319</v>
      </c>
      <c r="B53" s="151">
        <f t="shared" si="6"/>
        <v>90</v>
      </c>
      <c r="C53" s="164"/>
      <c r="D53" s="92"/>
      <c r="E53" s="92"/>
      <c r="F53" s="102"/>
      <c r="G53" s="98"/>
      <c r="H53" s="98"/>
      <c r="I53" s="98"/>
      <c r="J53" s="98"/>
      <c r="K53" s="98"/>
      <c r="L53" s="98"/>
      <c r="M53" s="158"/>
      <c r="N53" s="158"/>
      <c r="O53" s="158"/>
      <c r="P53" s="158"/>
      <c r="Q53" s="158"/>
      <c r="R53" s="158"/>
      <c r="S53" s="158"/>
      <c r="T53" s="168"/>
      <c r="U53" s="158"/>
      <c r="V53" s="158"/>
      <c r="W53" s="158"/>
      <c r="X53" s="158"/>
      <c r="Y53" s="158"/>
    </row>
    <row r="54" spans="1:25" ht="15.75" customHeight="1" x14ac:dyDescent="0.3">
      <c r="A54" s="10" t="s">
        <v>212</v>
      </c>
      <c r="B54" s="151">
        <f t="shared" si="6"/>
        <v>892</v>
      </c>
      <c r="C54" s="164"/>
      <c r="D54" s="92"/>
      <c r="E54" s="92"/>
      <c r="F54" s="102"/>
      <c r="G54" s="98"/>
      <c r="H54" s="98"/>
      <c r="I54" s="98"/>
      <c r="J54" s="98"/>
      <c r="K54" s="98"/>
      <c r="L54" s="9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</row>
    <row r="55" spans="1:25" ht="15.75" customHeight="1" thickBot="1" x14ac:dyDescent="0.35">
      <c r="A55" s="10" t="s">
        <v>5</v>
      </c>
      <c r="B55" s="152">
        <f t="shared" si="6"/>
        <v>1634.9672519999999</v>
      </c>
      <c r="C55" s="152">
        <v>0</v>
      </c>
      <c r="D55" s="92"/>
      <c r="E55" s="92"/>
      <c r="F55" s="102"/>
      <c r="G55" s="98"/>
      <c r="H55" s="98"/>
      <c r="I55" s="98"/>
      <c r="J55" s="98"/>
      <c r="K55" s="98"/>
      <c r="L55" s="9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</row>
    <row r="56" spans="1:25" ht="15.75" customHeight="1" x14ac:dyDescent="0.3">
      <c r="A56" s="143"/>
      <c r="B56" s="153">
        <f>SUM(B49:B55)</f>
        <v>10618.277252000002</v>
      </c>
      <c r="C56" s="153">
        <f>SUM(C48:C55)</f>
        <v>0</v>
      </c>
      <c r="D56" s="92"/>
      <c r="E56" s="92"/>
      <c r="F56" s="102"/>
      <c r="G56" s="98"/>
      <c r="H56" s="98"/>
      <c r="I56" s="98"/>
      <c r="J56" s="98"/>
      <c r="K56" s="98"/>
      <c r="L56" s="9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</row>
    <row r="57" spans="1:25" ht="15.75" customHeight="1" x14ac:dyDescent="0.3">
      <c r="A57" s="13"/>
      <c r="B57" s="73"/>
      <c r="C57" s="73"/>
      <c r="D57" s="92"/>
      <c r="E57" s="92"/>
      <c r="F57" s="102"/>
      <c r="G57" s="98"/>
      <c r="H57" s="98"/>
      <c r="I57" s="98"/>
      <c r="J57" s="98"/>
      <c r="K57" s="98"/>
      <c r="L57" s="9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</row>
    <row r="58" spans="1:25" ht="15.75" customHeight="1" thickBot="1" x14ac:dyDescent="0.35">
      <c r="A58" s="143" t="s">
        <v>148</v>
      </c>
      <c r="B58" s="154">
        <f>B46-B56</f>
        <v>289.24274799999876</v>
      </c>
      <c r="C58" s="154">
        <f>C46-C56</f>
        <v>0</v>
      </c>
      <c r="D58" s="92"/>
      <c r="E58" s="92"/>
      <c r="F58" s="102"/>
      <c r="G58" s="98"/>
      <c r="H58" s="98"/>
      <c r="I58" s="98"/>
      <c r="J58" s="98"/>
      <c r="K58" s="98"/>
      <c r="L58" s="9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</row>
    <row r="59" spans="1:25" ht="15.75" customHeight="1" x14ac:dyDescent="0.3">
      <c r="A59" s="140"/>
      <c r="B59" s="141"/>
      <c r="C59" s="90"/>
      <c r="D59" s="92"/>
      <c r="E59" s="92"/>
      <c r="F59" s="102"/>
      <c r="G59" s="98"/>
      <c r="H59" s="98"/>
      <c r="I59" s="98"/>
      <c r="J59" s="98"/>
      <c r="K59" s="98"/>
      <c r="L59" s="9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</row>
    <row r="60" spans="1:25" ht="15.75" customHeight="1" x14ac:dyDescent="0.3">
      <c r="A60" s="198"/>
      <c r="B60" s="199"/>
      <c r="C60" s="90"/>
      <c r="D60" s="92"/>
      <c r="E60" s="92"/>
      <c r="F60" s="98"/>
      <c r="G60" s="98"/>
      <c r="H60" s="98"/>
      <c r="I60" s="98"/>
      <c r="J60" s="98"/>
      <c r="K60" s="98"/>
      <c r="L60" s="9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</row>
    <row r="61" spans="1:25" ht="15.75" customHeight="1" thickBot="1" x14ac:dyDescent="0.35">
      <c r="A61" s="35"/>
      <c r="B61" s="34"/>
      <c r="C61" s="34"/>
      <c r="D61" s="37"/>
      <c r="E61" s="37"/>
      <c r="F61" s="139"/>
      <c r="G61" s="139"/>
      <c r="H61" s="98"/>
      <c r="I61" s="98"/>
      <c r="J61" s="98"/>
      <c r="K61" s="98"/>
      <c r="L61" s="9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</row>
    <row r="62" spans="1:25" ht="15.75" customHeight="1" x14ac:dyDescent="0.3">
      <c r="A62" s="93" t="s">
        <v>359</v>
      </c>
      <c r="B62" s="32"/>
      <c r="C62" s="32"/>
      <c r="D62" s="38"/>
      <c r="E62" s="38"/>
      <c r="F62" s="138"/>
      <c r="G62" s="138"/>
      <c r="H62" s="98"/>
      <c r="I62" s="98"/>
      <c r="J62" s="98"/>
      <c r="K62" s="98"/>
      <c r="L62" s="9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</row>
    <row r="63" spans="1:25" ht="15.75" customHeight="1" thickBot="1" x14ac:dyDescent="0.35">
      <c r="A63" s="39"/>
      <c r="B63" s="34"/>
      <c r="C63" s="37"/>
      <c r="D63" s="37"/>
      <c r="E63" s="92"/>
      <c r="F63" s="98"/>
      <c r="G63" s="98"/>
      <c r="H63" s="98"/>
      <c r="I63" s="98"/>
      <c r="J63" s="98"/>
      <c r="K63" s="98"/>
      <c r="L63" s="9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</row>
    <row r="64" spans="1:25" ht="15.75" customHeight="1" thickBot="1" x14ac:dyDescent="0.35">
      <c r="A64" s="104" t="s">
        <v>381</v>
      </c>
      <c r="B64" s="40" t="s">
        <v>8</v>
      </c>
      <c r="C64" s="41" t="s">
        <v>9</v>
      </c>
      <c r="D64" s="41" t="s">
        <v>10</v>
      </c>
      <c r="E64" s="132" t="s">
        <v>11</v>
      </c>
      <c r="F64" s="133" t="s">
        <v>179</v>
      </c>
      <c r="G64" s="133" t="s">
        <v>12</v>
      </c>
      <c r="H64" s="98"/>
      <c r="I64" s="98"/>
      <c r="J64" s="98"/>
      <c r="K64" s="98"/>
      <c r="L64" s="9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</row>
    <row r="65" spans="1:25" ht="15.75" customHeight="1" x14ac:dyDescent="0.3">
      <c r="A65" s="106" t="s">
        <v>362</v>
      </c>
      <c r="B65" s="42">
        <v>0</v>
      </c>
      <c r="C65" s="43">
        <v>50</v>
      </c>
      <c r="D65" s="43">
        <f>B65+C65</f>
        <v>50</v>
      </c>
      <c r="E65" s="134">
        <v>115</v>
      </c>
      <c r="F65" s="135">
        <v>0</v>
      </c>
      <c r="G65" s="135">
        <f>D65-E65+F65</f>
        <v>-65</v>
      </c>
      <c r="H65" s="98"/>
      <c r="I65" s="98"/>
      <c r="J65" s="98"/>
      <c r="K65" s="98"/>
      <c r="L65" s="9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</row>
    <row r="66" spans="1:25" ht="15.75" customHeight="1" x14ac:dyDescent="0.3">
      <c r="A66" s="106" t="s">
        <v>363</v>
      </c>
      <c r="B66" s="42">
        <v>-50</v>
      </c>
      <c r="C66" s="43">
        <v>50</v>
      </c>
      <c r="D66" s="43">
        <f t="shared" ref="D66:D81" si="7">B66+C66</f>
        <v>0</v>
      </c>
      <c r="E66" s="134">
        <v>0</v>
      </c>
      <c r="F66" s="136"/>
      <c r="G66" s="135">
        <f t="shared" ref="G66:G81" si="8">D66-E66+F66</f>
        <v>0</v>
      </c>
      <c r="H66" s="98"/>
      <c r="I66" s="98"/>
      <c r="J66" s="98"/>
      <c r="K66" s="98"/>
      <c r="L66" s="9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</row>
    <row r="67" spans="1:25" ht="15.75" customHeight="1" x14ac:dyDescent="0.3">
      <c r="A67" s="106" t="s">
        <v>364</v>
      </c>
      <c r="B67" s="42">
        <v>0</v>
      </c>
      <c r="C67" s="43">
        <v>50</v>
      </c>
      <c r="D67" s="43">
        <f t="shared" si="7"/>
        <v>50</v>
      </c>
      <c r="E67" s="134">
        <v>50</v>
      </c>
      <c r="F67" s="136">
        <v>0</v>
      </c>
      <c r="G67" s="135">
        <f t="shared" si="8"/>
        <v>0</v>
      </c>
      <c r="H67" s="98"/>
      <c r="I67" s="98"/>
      <c r="J67" s="98"/>
      <c r="K67" s="98"/>
      <c r="L67" s="9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</row>
    <row r="68" spans="1:25" ht="15.75" customHeight="1" x14ac:dyDescent="0.3">
      <c r="A68" s="106" t="s">
        <v>365</v>
      </c>
      <c r="B68" s="42">
        <v>20</v>
      </c>
      <c r="C68" s="43">
        <v>50</v>
      </c>
      <c r="D68" s="43">
        <f t="shared" si="7"/>
        <v>70</v>
      </c>
      <c r="E68" s="134">
        <v>50</v>
      </c>
      <c r="F68" s="136">
        <v>0</v>
      </c>
      <c r="G68" s="136">
        <f t="shared" si="8"/>
        <v>20</v>
      </c>
      <c r="H68" s="98"/>
      <c r="I68" s="98"/>
      <c r="J68" s="98"/>
      <c r="K68" s="98"/>
      <c r="L68" s="9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</row>
    <row r="69" spans="1:25" ht="15.75" customHeight="1" x14ac:dyDescent="0.3">
      <c r="A69" s="106" t="s">
        <v>366</v>
      </c>
      <c r="B69" s="42">
        <v>50</v>
      </c>
      <c r="C69" s="43">
        <v>50</v>
      </c>
      <c r="D69" s="43">
        <f t="shared" si="7"/>
        <v>100</v>
      </c>
      <c r="E69" s="134">
        <v>150</v>
      </c>
      <c r="F69" s="136">
        <v>0</v>
      </c>
      <c r="G69" s="136">
        <f t="shared" si="8"/>
        <v>-50</v>
      </c>
      <c r="H69" s="98"/>
      <c r="I69" s="98"/>
      <c r="J69" s="98"/>
      <c r="K69" s="98"/>
      <c r="L69" s="9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</row>
    <row r="70" spans="1:25" ht="15.75" customHeight="1" x14ac:dyDescent="0.3">
      <c r="A70" s="106" t="s">
        <v>367</v>
      </c>
      <c r="B70" s="42">
        <v>160</v>
      </c>
      <c r="C70" s="43">
        <v>50</v>
      </c>
      <c r="D70" s="43">
        <f t="shared" si="7"/>
        <v>210</v>
      </c>
      <c r="E70" s="134">
        <v>210</v>
      </c>
      <c r="F70" s="136">
        <v>0</v>
      </c>
      <c r="G70" s="136">
        <f t="shared" si="8"/>
        <v>0</v>
      </c>
      <c r="H70" s="98"/>
      <c r="I70" s="98"/>
      <c r="J70" s="98"/>
      <c r="K70" s="98"/>
      <c r="L70" s="9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</row>
    <row r="71" spans="1:25" ht="15.75" customHeight="1" x14ac:dyDescent="0.3">
      <c r="A71" s="106" t="s">
        <v>368</v>
      </c>
      <c r="B71" s="42">
        <v>-50</v>
      </c>
      <c r="C71" s="43">
        <v>50</v>
      </c>
      <c r="D71" s="43">
        <f t="shared" si="7"/>
        <v>0</v>
      </c>
      <c r="E71" s="134">
        <v>0</v>
      </c>
      <c r="F71" s="136">
        <v>0</v>
      </c>
      <c r="G71" s="136">
        <f t="shared" si="8"/>
        <v>0</v>
      </c>
      <c r="H71" s="98"/>
      <c r="I71" s="98"/>
      <c r="J71" s="98"/>
      <c r="K71" s="98"/>
      <c r="L71" s="9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</row>
    <row r="72" spans="1:25" ht="15.75" customHeight="1" x14ac:dyDescent="0.3">
      <c r="A72" s="106" t="s">
        <v>369</v>
      </c>
      <c r="B72" s="42">
        <v>50</v>
      </c>
      <c r="C72" s="43">
        <v>50</v>
      </c>
      <c r="D72" s="43">
        <f t="shared" si="7"/>
        <v>100</v>
      </c>
      <c r="E72" s="134">
        <v>0</v>
      </c>
      <c r="F72" s="136">
        <v>0</v>
      </c>
      <c r="G72" s="136">
        <f t="shared" si="8"/>
        <v>100</v>
      </c>
      <c r="H72" s="98"/>
      <c r="I72" s="98"/>
      <c r="J72" s="98"/>
      <c r="K72" s="98"/>
      <c r="L72" s="9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</row>
    <row r="73" spans="1:25" ht="15.75" customHeight="1" x14ac:dyDescent="0.3">
      <c r="A73" s="106" t="s">
        <v>371</v>
      </c>
      <c r="B73" s="42">
        <v>100</v>
      </c>
      <c r="C73" s="43">
        <v>50</v>
      </c>
      <c r="D73" s="43">
        <f t="shared" si="7"/>
        <v>150</v>
      </c>
      <c r="E73" s="134">
        <v>0</v>
      </c>
      <c r="F73" s="136">
        <v>0</v>
      </c>
      <c r="G73" s="136">
        <f t="shared" si="8"/>
        <v>150</v>
      </c>
      <c r="H73" s="98"/>
      <c r="I73" s="98"/>
      <c r="J73" s="98"/>
      <c r="K73" s="98"/>
      <c r="L73" s="9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</row>
    <row r="74" spans="1:25" ht="15.75" customHeight="1" x14ac:dyDescent="0.3">
      <c r="A74" s="106" t="s">
        <v>370</v>
      </c>
      <c r="B74" s="42">
        <v>0</v>
      </c>
      <c r="C74" s="43">
        <v>50</v>
      </c>
      <c r="D74" s="43">
        <f t="shared" si="7"/>
        <v>50</v>
      </c>
      <c r="E74" s="134">
        <v>115</v>
      </c>
      <c r="F74" s="136">
        <v>0</v>
      </c>
      <c r="G74" s="136">
        <f t="shared" si="8"/>
        <v>-65</v>
      </c>
      <c r="H74" s="98"/>
      <c r="I74" s="98"/>
      <c r="J74" s="98"/>
      <c r="K74" s="98"/>
      <c r="L74" s="9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</row>
    <row r="75" spans="1:25" ht="15.75" customHeight="1" x14ac:dyDescent="0.3">
      <c r="A75" s="106" t="s">
        <v>372</v>
      </c>
      <c r="B75" s="42">
        <v>80</v>
      </c>
      <c r="C75" s="43">
        <v>50</v>
      </c>
      <c r="D75" s="43">
        <f t="shared" si="7"/>
        <v>130</v>
      </c>
      <c r="E75" s="134">
        <v>160.52000000000001</v>
      </c>
      <c r="F75" s="136">
        <v>0</v>
      </c>
      <c r="G75" s="136">
        <f t="shared" si="8"/>
        <v>-30.52000000000001</v>
      </c>
      <c r="H75" s="98"/>
      <c r="I75" s="98"/>
      <c r="J75" s="98"/>
      <c r="K75" s="98"/>
      <c r="L75" s="9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</row>
    <row r="76" spans="1:25" ht="15.75" customHeight="1" x14ac:dyDescent="0.3">
      <c r="A76" s="106" t="s">
        <v>373</v>
      </c>
      <c r="B76" s="42">
        <v>50</v>
      </c>
      <c r="C76" s="43">
        <v>50</v>
      </c>
      <c r="D76" s="43">
        <f t="shared" si="7"/>
        <v>100</v>
      </c>
      <c r="E76" s="134">
        <v>150</v>
      </c>
      <c r="F76" s="136">
        <v>0</v>
      </c>
      <c r="G76" s="136">
        <f t="shared" si="8"/>
        <v>-50</v>
      </c>
      <c r="H76" s="98"/>
      <c r="I76" s="98"/>
      <c r="J76" s="98"/>
      <c r="K76" s="98"/>
      <c r="L76" s="9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</row>
    <row r="77" spans="1:25" ht="15.75" customHeight="1" x14ac:dyDescent="0.3">
      <c r="A77" s="106" t="s">
        <v>374</v>
      </c>
      <c r="B77" s="42">
        <v>-50</v>
      </c>
      <c r="C77" s="43">
        <v>50</v>
      </c>
      <c r="D77" s="43">
        <f t="shared" si="7"/>
        <v>0</v>
      </c>
      <c r="E77" s="134">
        <v>65</v>
      </c>
      <c r="F77" s="136">
        <v>0</v>
      </c>
      <c r="G77" s="135">
        <f t="shared" si="8"/>
        <v>-65</v>
      </c>
      <c r="H77" s="98"/>
      <c r="I77" s="98"/>
      <c r="J77" s="98"/>
      <c r="K77" s="98"/>
      <c r="L77" s="9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</row>
    <row r="78" spans="1:25" ht="15.75" customHeight="1" x14ac:dyDescent="0.3">
      <c r="A78" s="106" t="s">
        <v>375</v>
      </c>
      <c r="B78" s="42">
        <v>-50</v>
      </c>
      <c r="C78" s="43">
        <v>50</v>
      </c>
      <c r="D78" s="43">
        <f t="shared" si="7"/>
        <v>0</v>
      </c>
      <c r="E78" s="134">
        <v>0</v>
      </c>
      <c r="F78" s="136">
        <v>0</v>
      </c>
      <c r="G78" s="135">
        <f t="shared" si="8"/>
        <v>0</v>
      </c>
      <c r="H78" s="98"/>
      <c r="I78" s="98"/>
      <c r="J78" s="98"/>
      <c r="K78" s="98"/>
      <c r="L78" s="9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 spans="1:25" ht="15.75" customHeight="1" x14ac:dyDescent="0.3">
      <c r="A79" s="106" t="s">
        <v>376</v>
      </c>
      <c r="B79" s="42">
        <v>-50</v>
      </c>
      <c r="C79" s="43">
        <v>50</v>
      </c>
      <c r="D79" s="43">
        <f t="shared" si="7"/>
        <v>0</v>
      </c>
      <c r="E79" s="134">
        <v>65</v>
      </c>
      <c r="F79" s="136">
        <v>0</v>
      </c>
      <c r="G79" s="135">
        <f t="shared" si="8"/>
        <v>-65</v>
      </c>
      <c r="H79" s="98"/>
      <c r="I79" s="98"/>
      <c r="J79" s="98"/>
      <c r="K79" s="98"/>
      <c r="L79" s="9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</row>
    <row r="80" spans="1:25" ht="15.75" customHeight="1" x14ac:dyDescent="0.3">
      <c r="A80" s="106" t="s">
        <v>377</v>
      </c>
      <c r="B80" s="42">
        <v>0</v>
      </c>
      <c r="C80" s="43">
        <v>50</v>
      </c>
      <c r="D80" s="43">
        <f t="shared" si="7"/>
        <v>50</v>
      </c>
      <c r="E80" s="134">
        <v>115</v>
      </c>
      <c r="F80" s="136">
        <v>0</v>
      </c>
      <c r="G80" s="135">
        <f t="shared" si="8"/>
        <v>-65</v>
      </c>
      <c r="H80" s="98"/>
      <c r="I80" s="98"/>
      <c r="J80" s="98"/>
      <c r="K80" s="98"/>
      <c r="L80" s="9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</row>
    <row r="81" spans="1:25" ht="15.75" customHeight="1" thickBot="1" x14ac:dyDescent="0.35">
      <c r="A81" s="106" t="s">
        <v>378</v>
      </c>
      <c r="B81" s="42">
        <v>-50</v>
      </c>
      <c r="C81" s="43">
        <v>50</v>
      </c>
      <c r="D81" s="43">
        <f t="shared" si="7"/>
        <v>0</v>
      </c>
      <c r="E81" s="137">
        <v>0</v>
      </c>
      <c r="F81" s="135"/>
      <c r="G81" s="135">
        <f t="shared" si="8"/>
        <v>0</v>
      </c>
      <c r="H81" s="98"/>
      <c r="I81" s="98"/>
      <c r="J81" s="98"/>
      <c r="K81" s="98"/>
      <c r="L81" s="9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</row>
    <row r="82" spans="1:25" ht="15.75" customHeight="1" thickBot="1" x14ac:dyDescent="0.35">
      <c r="A82" s="105" t="s">
        <v>13</v>
      </c>
      <c r="B82" s="44">
        <f t="shared" ref="B82:G82" si="9">SUM(B65:B81)</f>
        <v>210</v>
      </c>
      <c r="C82" s="44">
        <f t="shared" si="9"/>
        <v>850</v>
      </c>
      <c r="D82" s="44">
        <f t="shared" si="9"/>
        <v>1060</v>
      </c>
      <c r="E82" s="44">
        <f t="shared" si="9"/>
        <v>1245.52</v>
      </c>
      <c r="F82" s="44">
        <f t="shared" si="9"/>
        <v>0</v>
      </c>
      <c r="G82" s="44">
        <f t="shared" si="9"/>
        <v>-185.52</v>
      </c>
      <c r="H82" s="98"/>
      <c r="I82" s="98"/>
      <c r="J82" s="98"/>
      <c r="K82" s="98"/>
      <c r="L82" s="9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</row>
    <row r="83" spans="1:25" ht="15.75" customHeight="1" x14ac:dyDescent="0.3">
      <c r="A83" s="45"/>
      <c r="B83" s="42"/>
      <c r="C83" s="43"/>
      <c r="D83" s="43"/>
      <c r="E83" s="43"/>
      <c r="F83" s="98"/>
      <c r="G83" s="98"/>
      <c r="H83" s="98"/>
      <c r="I83" s="98"/>
      <c r="J83" s="98"/>
      <c r="K83" s="98"/>
      <c r="L83" s="9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</row>
    <row r="84" spans="1:25" ht="15.75" customHeight="1" thickBot="1" x14ac:dyDescent="0.35">
      <c r="A84" s="46"/>
      <c r="B84" s="36"/>
      <c r="C84" s="36"/>
      <c r="D84" s="47"/>
      <c r="E84" s="156"/>
      <c r="F84" s="139"/>
      <c r="G84" s="139"/>
      <c r="H84" s="98"/>
      <c r="I84" s="98"/>
      <c r="J84" s="98"/>
      <c r="K84" s="98"/>
      <c r="L84" s="9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</row>
    <row r="85" spans="1:25" ht="15.75" customHeight="1" x14ac:dyDescent="0.3">
      <c r="A85" s="48"/>
      <c r="B85" s="32"/>
      <c r="C85" s="32"/>
      <c r="D85" s="49"/>
      <c r="E85" s="49"/>
      <c r="F85" s="138"/>
      <c r="G85" s="138"/>
      <c r="H85" s="98"/>
      <c r="I85" s="98"/>
      <c r="J85" s="98"/>
      <c r="K85" s="98"/>
      <c r="L85" s="9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</row>
    <row r="86" spans="1:25" ht="15.75" customHeight="1" x14ac:dyDescent="0.3">
      <c r="A86" s="200" t="s">
        <v>360</v>
      </c>
      <c r="B86" s="201"/>
      <c r="C86" s="201"/>
      <c r="D86" s="202"/>
      <c r="E86" s="123"/>
      <c r="F86" s="98"/>
      <c r="G86" s="98"/>
      <c r="H86" s="98"/>
      <c r="I86" s="98"/>
      <c r="J86" s="98"/>
      <c r="K86" s="98"/>
      <c r="L86" s="9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</row>
    <row r="87" spans="1:25" ht="15.75" customHeight="1" x14ac:dyDescent="0.3">
      <c r="A87" s="50"/>
      <c r="B87" s="51" t="s">
        <v>1</v>
      </c>
      <c r="C87" s="52" t="s">
        <v>38</v>
      </c>
      <c r="D87"/>
      <c r="E87"/>
      <c r="F87" s="98"/>
      <c r="G87" s="98"/>
      <c r="H87" s="98"/>
      <c r="I87" s="98"/>
      <c r="J87" s="98"/>
      <c r="K87" s="98"/>
      <c r="L87" s="9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</row>
    <row r="88" spans="1:25" ht="15.75" customHeight="1" x14ac:dyDescent="0.3">
      <c r="A88" s="33" t="s">
        <v>14</v>
      </c>
      <c r="B88" s="53"/>
      <c r="C88" s="31"/>
      <c r="D88" s="54"/>
      <c r="E88" s="54"/>
      <c r="F88" s="98"/>
      <c r="G88" s="98"/>
      <c r="H88" s="98"/>
      <c r="I88" s="98"/>
      <c r="J88" s="98"/>
      <c r="K88" s="98"/>
      <c r="L88" s="9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</row>
    <row r="89" spans="1:25" ht="15.75" customHeight="1" x14ac:dyDescent="0.3">
      <c r="A89" s="31" t="s">
        <v>15</v>
      </c>
      <c r="B89" s="55">
        <f>B58</f>
        <v>289.24274799999876</v>
      </c>
      <c r="C89" s="31">
        <f>C39</f>
        <v>0</v>
      </c>
      <c r="D89" s="31"/>
      <c r="E89" s="31"/>
      <c r="F89" s="98"/>
      <c r="G89" s="98"/>
      <c r="H89" s="98"/>
      <c r="I89" s="98"/>
      <c r="J89" s="98"/>
      <c r="K89" s="98"/>
      <c r="L89" s="9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</row>
    <row r="90" spans="1:25" ht="15.75" customHeight="1" x14ac:dyDescent="0.3">
      <c r="A90" s="56" t="s">
        <v>16</v>
      </c>
      <c r="B90" s="57">
        <f>SUMIF(G65:G81,"&gt;0")</f>
        <v>270</v>
      </c>
      <c r="C90" s="31">
        <v>0</v>
      </c>
      <c r="D90" s="58"/>
      <c r="E90" s="58"/>
      <c r="F90" s="98"/>
      <c r="G90" s="98"/>
      <c r="H90" s="98"/>
      <c r="I90" s="98"/>
      <c r="J90" s="98"/>
      <c r="K90" s="98"/>
      <c r="L90" s="9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</row>
    <row r="91" spans="1:25" ht="15.75" customHeight="1" thickBot="1" x14ac:dyDescent="0.35">
      <c r="A91" s="56"/>
      <c r="B91" s="59">
        <f>SUM(B89:B90)</f>
        <v>559.24274799999876</v>
      </c>
      <c r="C91" s="59">
        <f>SUM(C89:C90)</f>
        <v>0</v>
      </c>
      <c r="D91" s="31"/>
      <c r="E91" s="31"/>
      <c r="F91" s="98"/>
      <c r="G91" s="98"/>
      <c r="H91" s="98"/>
      <c r="I91" s="98"/>
      <c r="J91" s="98"/>
      <c r="K91" s="98"/>
      <c r="L91" s="9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</row>
    <row r="92" spans="1:25" ht="15.75" customHeight="1" x14ac:dyDescent="0.3">
      <c r="A92" s="60"/>
      <c r="B92" s="61"/>
      <c r="C92" s="31"/>
      <c r="D92" s="62"/>
      <c r="E92" s="62"/>
      <c r="F92" s="98"/>
      <c r="G92" s="98"/>
      <c r="H92" s="98"/>
      <c r="I92" s="98"/>
      <c r="J92" s="98"/>
      <c r="K92" s="98"/>
      <c r="L92" s="9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</row>
    <row r="93" spans="1:25" ht="15.75" customHeight="1" x14ac:dyDescent="0.3">
      <c r="A93" s="30" t="s">
        <v>17</v>
      </c>
      <c r="B93" s="29"/>
      <c r="C93" s="29"/>
      <c r="D93" s="29"/>
      <c r="E93" s="29"/>
      <c r="F93" s="98"/>
      <c r="G93" s="98"/>
      <c r="H93" s="98"/>
      <c r="I93" s="98"/>
      <c r="J93" s="98"/>
      <c r="K93" s="98"/>
      <c r="L93" s="9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</row>
    <row r="94" spans="1:25" ht="15.75" customHeight="1" x14ac:dyDescent="0.3">
      <c r="A94" s="29" t="s">
        <v>356</v>
      </c>
      <c r="B94" s="11">
        <f>B58*-1</f>
        <v>-289.24274799999876</v>
      </c>
      <c r="C94" s="179">
        <v>0</v>
      </c>
      <c r="D94" s="29"/>
      <c r="E94" s="29"/>
      <c r="F94" s="98"/>
      <c r="G94" s="98"/>
      <c r="H94" s="98"/>
      <c r="I94" s="98"/>
      <c r="J94" s="98"/>
      <c r="K94" s="98"/>
      <c r="L94" s="9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</row>
    <row r="95" spans="1:25" ht="15.75" customHeight="1" x14ac:dyDescent="0.3">
      <c r="A95" s="29" t="s">
        <v>18</v>
      </c>
      <c r="B95" s="178">
        <f>SUMIF(G65:G81,"&lt;0")*-1</f>
        <v>455.52</v>
      </c>
      <c r="C95" s="165">
        <v>0</v>
      </c>
      <c r="D95" s="29"/>
      <c r="E95" s="29"/>
      <c r="F95" s="98"/>
      <c r="G95" s="98"/>
      <c r="H95" s="98"/>
      <c r="I95" s="98"/>
      <c r="J95" s="98"/>
      <c r="K95" s="98"/>
      <c r="L95" s="9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</row>
    <row r="96" spans="1:25" ht="15.75" customHeight="1" thickBot="1" x14ac:dyDescent="0.35">
      <c r="A96" s="63"/>
      <c r="B96" s="122">
        <f>SUM(B94:B95)</f>
        <v>166.27725200000123</v>
      </c>
      <c r="C96" s="122">
        <f>SUM(C94:C95)</f>
        <v>0</v>
      </c>
      <c r="D96" s="29"/>
      <c r="E96" s="29"/>
      <c r="F96" s="98"/>
      <c r="G96" s="98"/>
      <c r="H96" s="98"/>
      <c r="I96" s="98"/>
      <c r="J96" s="98"/>
      <c r="K96" s="98"/>
      <c r="L96" s="9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</row>
    <row r="97" spans="1:25" ht="15.75" customHeight="1" x14ac:dyDescent="0.3">
      <c r="A97" s="29"/>
      <c r="B97" s="64"/>
      <c r="C97" s="29"/>
      <c r="D97" s="29"/>
      <c r="E97" s="29"/>
      <c r="F97" s="98"/>
      <c r="G97" s="98"/>
      <c r="H97" s="98"/>
      <c r="I97" s="98"/>
      <c r="J97" s="98"/>
      <c r="K97" s="98"/>
      <c r="L97" s="9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</row>
    <row r="98" spans="1:25" ht="15.75" customHeight="1" x14ac:dyDescent="0.3">
      <c r="A98" s="30" t="s">
        <v>19</v>
      </c>
      <c r="B98" s="65">
        <f>B91-B96</f>
        <v>392.96549599999753</v>
      </c>
      <c r="C98" s="65">
        <f>C91-C96</f>
        <v>0</v>
      </c>
      <c r="D98" s="30"/>
      <c r="E98" s="30"/>
      <c r="F98" s="98"/>
      <c r="G98" s="98"/>
      <c r="H98" s="98"/>
      <c r="I98" s="98"/>
      <c r="J98" s="98"/>
      <c r="K98" s="98"/>
      <c r="L98" s="9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</row>
    <row r="99" spans="1:25" ht="15.75" customHeight="1" x14ac:dyDescent="0.3">
      <c r="A99" s="30"/>
      <c r="B99" s="65"/>
      <c r="C99" s="66"/>
      <c r="D99" s="30"/>
      <c r="E99" s="30"/>
      <c r="F99" s="98"/>
      <c r="G99" s="98"/>
      <c r="H99" s="98"/>
      <c r="I99" s="98"/>
      <c r="J99" s="98"/>
      <c r="K99" s="98"/>
      <c r="L99" s="9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 spans="1:25" ht="15.75" customHeight="1" thickBot="1" x14ac:dyDescent="0.35">
      <c r="A100" s="7"/>
      <c r="B100" s="6"/>
      <c r="C100" s="6"/>
      <c r="D100" s="6"/>
      <c r="E100" s="6"/>
      <c r="F100" s="139"/>
      <c r="G100" s="139"/>
      <c r="H100" s="98"/>
      <c r="I100" s="98"/>
      <c r="J100" s="98"/>
      <c r="K100" s="98"/>
      <c r="L100" s="9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</row>
    <row r="101" spans="1:25" ht="15.75" customHeight="1" x14ac:dyDescent="0.3">
      <c r="A101" s="184"/>
      <c r="B101" s="185"/>
      <c r="C101" s="185"/>
      <c r="D101" s="185"/>
      <c r="E101" s="185"/>
      <c r="F101" s="186"/>
      <c r="G101" s="186"/>
      <c r="H101" s="98"/>
      <c r="I101" s="98"/>
      <c r="J101" s="98"/>
      <c r="K101" s="98"/>
      <c r="L101" s="9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 spans="1:25" ht="15.75" customHeight="1" x14ac:dyDescent="0.3">
      <c r="B102"/>
      <c r="C102"/>
      <c r="D102"/>
      <c r="E102"/>
      <c r="G102" s="186"/>
      <c r="H102" s="98"/>
      <c r="I102" s="98"/>
      <c r="J102" s="98"/>
      <c r="K102" s="98"/>
      <c r="L102" s="9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 spans="1:25" x14ac:dyDescent="0.3">
      <c r="A103" s="3"/>
      <c r="B103" s="72"/>
      <c r="C103" s="72"/>
      <c r="D103" s="72"/>
      <c r="E103" s="72"/>
      <c r="F103" s="98"/>
      <c r="G103" s="98"/>
      <c r="H103" s="98"/>
      <c r="I103" s="98"/>
      <c r="J103" s="98"/>
      <c r="K103" s="98"/>
      <c r="L103" s="9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</row>
    <row r="104" spans="1:25" x14ac:dyDescent="0.3">
      <c r="A104" s="3"/>
      <c r="B104" s="72"/>
      <c r="C104" s="72"/>
      <c r="D104" s="72"/>
      <c r="E104" s="72"/>
      <c r="F104" s="98"/>
      <c r="G104" s="98"/>
      <c r="H104" s="98"/>
      <c r="I104" s="98"/>
      <c r="J104" s="98"/>
      <c r="K104" s="98"/>
      <c r="L104" s="9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</row>
    <row r="105" spans="1:25" x14ac:dyDescent="0.3">
      <c r="A105" s="98"/>
      <c r="B105" s="99"/>
      <c r="C105" s="99"/>
      <c r="D105" s="99"/>
      <c r="E105" s="99"/>
      <c r="F105" s="98"/>
      <c r="G105" s="98"/>
      <c r="H105" s="98"/>
      <c r="I105" s="98"/>
      <c r="J105" s="98"/>
      <c r="K105" s="98"/>
      <c r="L105" s="9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</row>
    <row r="106" spans="1:25" x14ac:dyDescent="0.3">
      <c r="A106" s="98"/>
      <c r="B106" s="99"/>
      <c r="C106" s="99"/>
      <c r="D106" s="99"/>
      <c r="E106" s="99"/>
      <c r="F106" s="98"/>
      <c r="G106" s="98"/>
      <c r="H106" s="98"/>
      <c r="I106" s="98"/>
      <c r="J106" s="98"/>
      <c r="K106" s="98"/>
      <c r="L106" s="9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</row>
    <row r="107" spans="1:25" x14ac:dyDescent="0.3">
      <c r="A107" s="98"/>
      <c r="B107" s="99"/>
      <c r="C107" s="99"/>
      <c r="D107" s="99"/>
      <c r="E107" s="99"/>
      <c r="F107" s="98"/>
      <c r="G107" s="98"/>
      <c r="H107" s="98"/>
      <c r="I107" s="98"/>
      <c r="J107" s="98"/>
      <c r="K107" s="98"/>
      <c r="L107" s="9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</row>
    <row r="108" spans="1:25" x14ac:dyDescent="0.3">
      <c r="A108" s="98"/>
      <c r="B108" s="99"/>
      <c r="C108" s="99"/>
      <c r="D108" s="99"/>
      <c r="E108" s="99"/>
      <c r="F108" s="98"/>
      <c r="G108" s="98"/>
      <c r="H108" s="98"/>
      <c r="I108" s="98"/>
      <c r="J108" s="98"/>
      <c r="K108" s="98"/>
      <c r="L108" s="9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</row>
    <row r="109" spans="1:25" x14ac:dyDescent="0.3">
      <c r="A109" s="98"/>
      <c r="B109" s="99"/>
      <c r="C109" s="99"/>
      <c r="D109" s="99"/>
      <c r="E109" s="99"/>
      <c r="F109" s="98"/>
      <c r="G109" s="98"/>
      <c r="H109" s="98"/>
      <c r="I109" s="98"/>
      <c r="J109" s="98"/>
      <c r="K109" s="98"/>
      <c r="L109" s="9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</row>
    <row r="110" spans="1:25" x14ac:dyDescent="0.3">
      <c r="A110" s="98"/>
      <c r="B110" s="99"/>
      <c r="C110" s="99"/>
      <c r="D110" s="99"/>
      <c r="E110" s="99"/>
      <c r="F110" s="98"/>
      <c r="G110" s="98"/>
      <c r="H110" s="98"/>
      <c r="I110" s="98"/>
      <c r="J110" s="98"/>
      <c r="K110" s="98"/>
      <c r="L110" s="9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</row>
    <row r="111" spans="1:25" x14ac:dyDescent="0.3">
      <c r="A111" s="98"/>
      <c r="B111" s="99"/>
      <c r="C111" s="99"/>
      <c r="D111" s="99"/>
      <c r="E111" s="99"/>
      <c r="F111" s="98"/>
      <c r="G111" s="98"/>
      <c r="H111" s="98"/>
      <c r="I111" s="98"/>
      <c r="J111" s="98"/>
      <c r="K111" s="98"/>
      <c r="L111" s="9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</row>
    <row r="112" spans="1:25" x14ac:dyDescent="0.3">
      <c r="A112" s="98"/>
      <c r="B112" s="99"/>
      <c r="C112" s="99"/>
      <c r="D112" s="99"/>
      <c r="E112" s="99"/>
      <c r="F112" s="98"/>
      <c r="G112" s="98"/>
      <c r="H112" s="98"/>
      <c r="I112" s="98"/>
      <c r="J112" s="98"/>
      <c r="K112" s="98"/>
      <c r="L112" s="9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</row>
    <row r="113" spans="1:25" x14ac:dyDescent="0.3">
      <c r="A113" s="98"/>
      <c r="B113" s="99"/>
      <c r="C113" s="99"/>
      <c r="D113" s="99"/>
      <c r="E113" s="99"/>
      <c r="F113" s="98"/>
      <c r="G113" s="98"/>
      <c r="H113" s="98"/>
      <c r="I113" s="98"/>
      <c r="J113" s="98"/>
      <c r="K113" s="98"/>
      <c r="L113" s="9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</row>
    <row r="114" spans="1:25" x14ac:dyDescent="0.3">
      <c r="A114" s="98"/>
      <c r="B114" s="99"/>
      <c r="C114" s="99"/>
      <c r="D114" s="99"/>
      <c r="E114" s="99"/>
      <c r="F114" s="98"/>
      <c r="G114" s="98"/>
      <c r="H114" s="98"/>
      <c r="I114" s="98"/>
      <c r="J114" s="98"/>
      <c r="K114" s="98"/>
      <c r="L114" s="9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</row>
    <row r="115" spans="1:25" x14ac:dyDescent="0.3">
      <c r="A115" s="98"/>
      <c r="B115" s="99"/>
      <c r="C115" s="99"/>
      <c r="D115" s="99"/>
      <c r="E115" s="99"/>
      <c r="F115" s="98"/>
      <c r="G115" s="98"/>
      <c r="H115" s="98"/>
      <c r="I115" s="98"/>
      <c r="J115" s="98"/>
      <c r="K115" s="98"/>
      <c r="L115" s="9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</row>
    <row r="116" spans="1:25" x14ac:dyDescent="0.3">
      <c r="A116" s="98"/>
      <c r="B116" s="99"/>
      <c r="C116" s="99"/>
      <c r="D116" s="99"/>
      <c r="E116" s="99"/>
      <c r="F116" s="98"/>
      <c r="G116" s="98"/>
      <c r="H116" s="98"/>
      <c r="I116" s="98"/>
      <c r="J116" s="98"/>
      <c r="K116" s="98"/>
      <c r="L116" s="9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</row>
    <row r="117" spans="1:25" x14ac:dyDescent="0.3">
      <c r="A117" s="98"/>
      <c r="B117" s="99"/>
      <c r="C117" s="99"/>
      <c r="D117" s="99"/>
      <c r="E117" s="99"/>
      <c r="F117" s="98"/>
      <c r="G117" s="98"/>
      <c r="H117" s="98"/>
      <c r="I117" s="98"/>
      <c r="J117" s="98"/>
      <c r="K117" s="98"/>
      <c r="L117" s="9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</row>
    <row r="118" spans="1:25" x14ac:dyDescent="0.3">
      <c r="A118" s="98"/>
      <c r="B118" s="99"/>
      <c r="C118" s="99"/>
      <c r="D118" s="99"/>
      <c r="E118" s="99"/>
      <c r="F118" s="98"/>
      <c r="G118" s="98"/>
      <c r="H118" s="98"/>
      <c r="I118" s="98"/>
      <c r="J118" s="98"/>
      <c r="K118" s="98"/>
      <c r="L118" s="9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</row>
    <row r="119" spans="1:25" x14ac:dyDescent="0.3">
      <c r="A119" s="98"/>
      <c r="B119" s="99"/>
      <c r="C119" s="99"/>
      <c r="D119" s="99"/>
      <c r="E119" s="99"/>
      <c r="F119" s="98"/>
      <c r="G119" s="98"/>
      <c r="H119" s="98"/>
      <c r="I119" s="98"/>
      <c r="J119" s="98"/>
      <c r="K119" s="98"/>
      <c r="L119" s="9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</row>
    <row r="120" spans="1:25" x14ac:dyDescent="0.3">
      <c r="A120" s="98"/>
      <c r="B120" s="99"/>
      <c r="C120" s="99"/>
      <c r="D120" s="99"/>
      <c r="E120" s="99"/>
      <c r="F120" s="98"/>
      <c r="G120" s="98"/>
      <c r="H120" s="98"/>
      <c r="I120" s="98"/>
      <c r="J120" s="98"/>
      <c r="K120" s="98"/>
      <c r="L120" s="9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</row>
    <row r="121" spans="1:25" x14ac:dyDescent="0.3">
      <c r="A121" s="98"/>
      <c r="B121" s="99"/>
      <c r="C121" s="99"/>
      <c r="D121" s="99"/>
      <c r="E121" s="99"/>
      <c r="F121" s="98"/>
      <c r="G121" s="98"/>
      <c r="H121" s="98"/>
      <c r="I121" s="98"/>
      <c r="J121" s="98"/>
      <c r="K121" s="98"/>
      <c r="L121" s="9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</row>
    <row r="122" spans="1:25" x14ac:dyDescent="0.3">
      <c r="A122" s="98"/>
      <c r="B122" s="99"/>
      <c r="C122" s="99"/>
      <c r="D122" s="99"/>
      <c r="E122" s="99"/>
      <c r="F122" s="98"/>
      <c r="G122" s="98"/>
      <c r="H122" s="98"/>
      <c r="I122" s="98"/>
      <c r="J122" s="98"/>
      <c r="K122" s="98"/>
      <c r="L122" s="9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</row>
    <row r="123" spans="1:25" x14ac:dyDescent="0.3">
      <c r="A123" s="98"/>
      <c r="B123" s="99"/>
      <c r="C123" s="99"/>
      <c r="D123" s="99"/>
      <c r="E123" s="99"/>
      <c r="F123" s="98"/>
      <c r="G123" s="98"/>
      <c r="H123" s="98"/>
      <c r="I123" s="98"/>
      <c r="J123" s="98"/>
      <c r="K123" s="98"/>
      <c r="L123" s="9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</row>
    <row r="124" spans="1:25" x14ac:dyDescent="0.3">
      <c r="A124" s="98"/>
      <c r="B124" s="99"/>
      <c r="C124" s="99"/>
      <c r="D124" s="99"/>
      <c r="E124" s="99"/>
      <c r="F124" s="98"/>
      <c r="G124" s="98"/>
      <c r="H124" s="98"/>
      <c r="I124" s="98"/>
      <c r="J124" s="98"/>
      <c r="K124" s="98"/>
      <c r="L124" s="9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</row>
    <row r="125" spans="1:25" x14ac:dyDescent="0.3">
      <c r="A125" s="98"/>
      <c r="B125" s="99"/>
      <c r="C125" s="99"/>
      <c r="D125" s="99"/>
      <c r="E125" s="99"/>
      <c r="F125" s="98"/>
      <c r="G125" s="98"/>
      <c r="H125" s="98"/>
      <c r="I125" s="98"/>
      <c r="J125" s="98"/>
      <c r="K125" s="98"/>
      <c r="L125" s="9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</row>
    <row r="126" spans="1:25" x14ac:dyDescent="0.3">
      <c r="A126" s="98"/>
      <c r="B126" s="99"/>
      <c r="C126" s="99"/>
      <c r="D126" s="99"/>
      <c r="E126" s="99"/>
      <c r="F126" s="98"/>
      <c r="G126" s="98"/>
      <c r="H126" s="98"/>
      <c r="I126" s="98"/>
      <c r="J126" s="98"/>
      <c r="K126" s="98"/>
      <c r="L126" s="9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</row>
    <row r="127" spans="1:25" x14ac:dyDescent="0.3">
      <c r="A127" s="98"/>
      <c r="B127" s="99"/>
      <c r="C127" s="99"/>
      <c r="D127" s="99"/>
      <c r="E127" s="99"/>
      <c r="F127" s="98"/>
      <c r="G127" s="98"/>
      <c r="H127" s="98"/>
      <c r="I127" s="98"/>
      <c r="J127" s="98"/>
      <c r="K127" s="98"/>
      <c r="L127" s="9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</row>
    <row r="128" spans="1:25" x14ac:dyDescent="0.3">
      <c r="A128" s="98"/>
      <c r="B128" s="99"/>
      <c r="C128" s="99"/>
      <c r="D128" s="99"/>
      <c r="E128" s="99"/>
      <c r="F128" s="98"/>
      <c r="G128" s="98"/>
      <c r="H128" s="98"/>
      <c r="I128" s="98"/>
      <c r="J128" s="98"/>
      <c r="K128" s="98"/>
      <c r="L128" s="9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</row>
    <row r="129" spans="1:25" x14ac:dyDescent="0.3">
      <c r="A129" s="98"/>
      <c r="B129" s="99"/>
      <c r="C129" s="99"/>
      <c r="D129" s="99"/>
      <c r="E129" s="99"/>
      <c r="F129" s="98"/>
      <c r="G129" s="98"/>
      <c r="H129" s="98"/>
      <c r="I129" s="98"/>
      <c r="J129" s="98"/>
      <c r="K129" s="98"/>
      <c r="L129" s="9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</row>
    <row r="130" spans="1:25" x14ac:dyDescent="0.3">
      <c r="A130" s="98"/>
      <c r="B130" s="99"/>
      <c r="C130" s="99"/>
      <c r="D130" s="99"/>
      <c r="E130" s="99"/>
      <c r="F130" s="98"/>
      <c r="G130" s="98"/>
      <c r="H130" s="98"/>
      <c r="I130" s="98"/>
      <c r="J130" s="98"/>
      <c r="K130" s="98"/>
      <c r="L130" s="9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</row>
    <row r="131" spans="1:25" x14ac:dyDescent="0.3">
      <c r="A131" s="98"/>
      <c r="B131" s="99"/>
      <c r="C131" s="99"/>
      <c r="D131" s="99"/>
      <c r="E131" s="99"/>
      <c r="F131" s="98"/>
      <c r="G131" s="98"/>
      <c r="H131" s="98"/>
      <c r="I131" s="98"/>
      <c r="J131" s="98"/>
      <c r="K131" s="98"/>
      <c r="L131" s="9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</row>
    <row r="132" spans="1:25" x14ac:dyDescent="0.3">
      <c r="A132" s="98"/>
      <c r="B132" s="99"/>
      <c r="C132" s="99"/>
      <c r="D132" s="99"/>
      <c r="E132" s="99"/>
      <c r="F132" s="98"/>
      <c r="G132" s="98"/>
      <c r="H132" s="98"/>
      <c r="I132" s="98"/>
      <c r="J132" s="98"/>
      <c r="K132" s="98"/>
      <c r="L132" s="9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</row>
    <row r="133" spans="1:25" x14ac:dyDescent="0.3">
      <c r="A133" s="98"/>
      <c r="B133" s="99"/>
      <c r="C133" s="99"/>
      <c r="D133" s="99"/>
      <c r="E133" s="99"/>
      <c r="F133" s="98"/>
      <c r="G133" s="98"/>
      <c r="H133" s="98"/>
      <c r="I133" s="98"/>
      <c r="J133" s="98"/>
      <c r="K133" s="98"/>
      <c r="L133" s="9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</row>
    <row r="134" spans="1:25" x14ac:dyDescent="0.3">
      <c r="A134" s="98"/>
      <c r="B134" s="99"/>
      <c r="C134" s="99"/>
      <c r="D134" s="99"/>
      <c r="E134" s="99"/>
      <c r="F134" s="98"/>
      <c r="G134" s="98"/>
      <c r="H134" s="98"/>
      <c r="I134" s="98"/>
      <c r="J134" s="98"/>
      <c r="K134" s="98"/>
      <c r="L134" s="9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</row>
    <row r="135" spans="1:25" x14ac:dyDescent="0.3">
      <c r="A135" s="98"/>
      <c r="B135" s="99"/>
      <c r="C135" s="99"/>
      <c r="D135" s="99"/>
      <c r="E135" s="99"/>
      <c r="F135" s="98"/>
      <c r="G135" s="98"/>
      <c r="H135" s="98"/>
      <c r="I135" s="98"/>
      <c r="J135" s="98"/>
      <c r="K135" s="98"/>
      <c r="L135" s="9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</row>
    <row r="136" spans="1:25" x14ac:dyDescent="0.3">
      <c r="A136" s="98"/>
      <c r="B136" s="99"/>
      <c r="C136" s="99"/>
      <c r="D136" s="99"/>
      <c r="E136" s="99"/>
      <c r="F136" s="98"/>
      <c r="G136" s="98"/>
      <c r="H136" s="98"/>
      <c r="I136" s="98"/>
      <c r="J136" s="98"/>
      <c r="K136" s="98"/>
      <c r="L136" s="9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</row>
    <row r="137" spans="1:25" x14ac:dyDescent="0.3">
      <c r="A137" s="98"/>
      <c r="B137" s="99"/>
      <c r="C137" s="99"/>
      <c r="D137" s="99"/>
      <c r="E137" s="99"/>
      <c r="F137" s="98"/>
      <c r="G137" s="98"/>
      <c r="H137" s="98"/>
      <c r="I137" s="98"/>
      <c r="J137" s="98"/>
      <c r="K137" s="98"/>
      <c r="L137" s="9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</row>
    <row r="138" spans="1:25" x14ac:dyDescent="0.3">
      <c r="A138" s="98"/>
      <c r="B138" s="99"/>
      <c r="C138" s="99"/>
      <c r="D138" s="99"/>
      <c r="E138" s="99"/>
      <c r="F138" s="98"/>
      <c r="G138" s="98"/>
      <c r="H138" s="98"/>
      <c r="I138" s="98"/>
      <c r="J138" s="98"/>
      <c r="K138" s="98"/>
      <c r="L138" s="9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</row>
    <row r="139" spans="1:25" x14ac:dyDescent="0.3">
      <c r="A139" s="98"/>
      <c r="B139" s="99"/>
      <c r="C139" s="99"/>
      <c r="D139" s="99"/>
      <c r="E139" s="99"/>
      <c r="F139" s="98"/>
      <c r="G139" s="98"/>
      <c r="H139" s="98"/>
      <c r="I139" s="98"/>
      <c r="J139" s="98"/>
      <c r="K139" s="98"/>
      <c r="L139" s="9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</row>
    <row r="140" spans="1:25" x14ac:dyDescent="0.3">
      <c r="A140" s="98"/>
      <c r="B140" s="99"/>
      <c r="C140" s="99"/>
      <c r="D140" s="99"/>
      <c r="E140" s="99"/>
      <c r="F140" s="98"/>
      <c r="G140" s="98"/>
      <c r="H140" s="98"/>
      <c r="I140" s="98"/>
      <c r="J140" s="98"/>
      <c r="K140" s="98"/>
      <c r="L140" s="9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</row>
    <row r="141" spans="1:25" x14ac:dyDescent="0.3">
      <c r="A141" s="98"/>
      <c r="B141" s="99"/>
      <c r="C141" s="99"/>
      <c r="D141" s="99"/>
      <c r="E141" s="99"/>
      <c r="F141" s="98"/>
      <c r="G141" s="98"/>
      <c r="H141" s="98"/>
      <c r="I141" s="98"/>
      <c r="J141" s="98"/>
      <c r="K141" s="98"/>
      <c r="L141" s="9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</row>
    <row r="142" spans="1:25" x14ac:dyDescent="0.3">
      <c r="A142" s="98"/>
      <c r="B142" s="99"/>
      <c r="C142" s="99"/>
      <c r="D142" s="99"/>
      <c r="E142" s="99"/>
      <c r="F142" s="98"/>
      <c r="G142" s="98"/>
      <c r="H142" s="98"/>
      <c r="I142" s="98"/>
      <c r="J142" s="98"/>
      <c r="K142" s="98"/>
      <c r="L142" s="9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</row>
    <row r="143" spans="1:25" x14ac:dyDescent="0.3">
      <c r="A143" s="98"/>
      <c r="B143" s="99"/>
      <c r="C143" s="99"/>
      <c r="D143" s="99"/>
      <c r="E143" s="99"/>
      <c r="F143" s="98"/>
      <c r="G143" s="98"/>
      <c r="H143" s="98"/>
      <c r="I143" s="98"/>
      <c r="J143" s="98"/>
      <c r="K143" s="98"/>
      <c r="L143" s="9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</row>
    <row r="144" spans="1:25" x14ac:dyDescent="0.3">
      <c r="A144" s="98"/>
      <c r="B144" s="99"/>
      <c r="C144" s="99"/>
      <c r="D144" s="99"/>
      <c r="E144" s="99"/>
      <c r="F144" s="98"/>
      <c r="G144" s="98"/>
      <c r="H144" s="98"/>
      <c r="I144" s="98"/>
      <c r="J144" s="98"/>
      <c r="K144" s="98"/>
      <c r="L144" s="9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</row>
    <row r="145" spans="1:25" x14ac:dyDescent="0.3">
      <c r="A145" s="98"/>
      <c r="B145" s="99"/>
      <c r="C145" s="99"/>
      <c r="D145" s="99"/>
      <c r="E145" s="99"/>
      <c r="F145" s="98"/>
      <c r="G145" s="98"/>
      <c r="H145" s="98"/>
      <c r="I145" s="98"/>
      <c r="J145" s="98"/>
      <c r="K145" s="98"/>
      <c r="L145" s="9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</row>
    <row r="146" spans="1:25" x14ac:dyDescent="0.3">
      <c r="A146" s="98"/>
      <c r="B146" s="99"/>
      <c r="C146" s="99"/>
      <c r="D146" s="99"/>
      <c r="E146" s="99"/>
      <c r="F146" s="98"/>
      <c r="G146" s="98"/>
      <c r="H146" s="98"/>
      <c r="I146" s="98"/>
      <c r="J146" s="98"/>
      <c r="K146" s="98"/>
      <c r="L146" s="9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</row>
    <row r="147" spans="1:25" x14ac:dyDescent="0.3">
      <c r="A147" s="98"/>
      <c r="B147" s="99"/>
      <c r="C147" s="99"/>
      <c r="D147" s="99"/>
      <c r="E147" s="99"/>
      <c r="F147" s="98"/>
      <c r="G147" s="98"/>
      <c r="H147" s="98"/>
      <c r="I147" s="98"/>
      <c r="J147" s="98"/>
      <c r="K147" s="98"/>
      <c r="L147" s="9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</row>
    <row r="148" spans="1:25" x14ac:dyDescent="0.3">
      <c r="A148" s="98"/>
      <c r="B148" s="99"/>
      <c r="C148" s="99"/>
      <c r="D148" s="99"/>
      <c r="E148" s="99"/>
      <c r="F148" s="98"/>
      <c r="G148" s="98"/>
      <c r="H148" s="98"/>
      <c r="I148" s="98"/>
      <c r="J148" s="98"/>
      <c r="K148" s="98"/>
      <c r="L148" s="9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</row>
    <row r="149" spans="1:25" x14ac:dyDescent="0.3">
      <c r="A149" s="98"/>
      <c r="B149" s="99"/>
      <c r="C149" s="99"/>
      <c r="D149" s="99"/>
      <c r="E149" s="99"/>
      <c r="F149" s="98"/>
      <c r="G149" s="98"/>
      <c r="H149" s="98"/>
      <c r="I149" s="98"/>
      <c r="J149" s="98"/>
      <c r="K149" s="98"/>
      <c r="L149" s="9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</row>
    <row r="150" spans="1:25" x14ac:dyDescent="0.3">
      <c r="A150" s="98"/>
      <c r="B150" s="99"/>
      <c r="C150" s="99"/>
      <c r="D150" s="99"/>
      <c r="E150" s="99"/>
      <c r="F150" s="98"/>
      <c r="G150" s="98"/>
      <c r="H150" s="98"/>
      <c r="I150" s="98"/>
      <c r="J150" s="98"/>
      <c r="K150" s="98"/>
      <c r="L150" s="9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</row>
    <row r="151" spans="1:25" x14ac:dyDescent="0.3">
      <c r="A151" s="98"/>
      <c r="B151" s="99"/>
      <c r="C151" s="99"/>
      <c r="D151" s="99"/>
      <c r="E151" s="99"/>
      <c r="F151" s="98"/>
      <c r="G151" s="98"/>
      <c r="H151" s="98"/>
      <c r="I151" s="98"/>
      <c r="J151" s="98"/>
      <c r="K151" s="98"/>
      <c r="L151" s="9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</row>
    <row r="152" spans="1:25" x14ac:dyDescent="0.3">
      <c r="A152" s="98"/>
      <c r="B152" s="99"/>
      <c r="C152" s="99"/>
      <c r="D152" s="99"/>
      <c r="E152" s="99"/>
      <c r="F152" s="98"/>
      <c r="G152" s="98"/>
      <c r="H152" s="98"/>
      <c r="I152" s="98"/>
      <c r="J152" s="98"/>
      <c r="K152" s="98"/>
      <c r="L152" s="9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</row>
    <row r="153" spans="1:25" x14ac:dyDescent="0.3">
      <c r="A153" s="98"/>
      <c r="B153" s="99"/>
      <c r="C153" s="99"/>
      <c r="D153" s="99"/>
      <c r="E153" s="99"/>
      <c r="F153" s="98"/>
      <c r="G153" s="98"/>
      <c r="H153" s="98"/>
      <c r="I153" s="98"/>
      <c r="J153" s="98"/>
      <c r="K153" s="98"/>
      <c r="L153" s="9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</row>
    <row r="154" spans="1:25" x14ac:dyDescent="0.3">
      <c r="A154" s="98"/>
      <c r="B154" s="99"/>
      <c r="C154" s="99"/>
      <c r="D154" s="99"/>
      <c r="E154" s="99"/>
      <c r="F154" s="98"/>
      <c r="G154" s="98"/>
      <c r="H154" s="98"/>
      <c r="I154" s="98"/>
      <c r="J154" s="98"/>
      <c r="K154" s="98"/>
      <c r="L154" s="9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</row>
    <row r="155" spans="1:25" x14ac:dyDescent="0.3">
      <c r="A155" s="98"/>
      <c r="B155" s="99"/>
      <c r="C155" s="99"/>
      <c r="D155" s="99"/>
      <c r="E155" s="99"/>
      <c r="F155" s="98"/>
      <c r="G155" s="98"/>
      <c r="H155" s="98"/>
      <c r="I155" s="98"/>
      <c r="J155" s="98"/>
      <c r="K155" s="98"/>
      <c r="L155" s="9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</row>
    <row r="156" spans="1:25" x14ac:dyDescent="0.3">
      <c r="A156" s="98"/>
      <c r="B156" s="99"/>
      <c r="C156" s="99"/>
      <c r="D156" s="99"/>
      <c r="E156" s="99"/>
      <c r="F156" s="98"/>
      <c r="G156" s="98"/>
      <c r="H156" s="98"/>
      <c r="I156" s="98"/>
      <c r="J156" s="98"/>
      <c r="K156" s="98"/>
      <c r="L156" s="9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</row>
    <row r="157" spans="1:25" x14ac:dyDescent="0.3">
      <c r="A157" s="98"/>
      <c r="B157" s="99"/>
      <c r="C157" s="99"/>
      <c r="D157" s="99"/>
      <c r="E157" s="99"/>
      <c r="F157" s="98"/>
      <c r="G157" s="98"/>
      <c r="H157" s="98"/>
      <c r="I157" s="98"/>
      <c r="J157" s="98"/>
      <c r="K157" s="98"/>
      <c r="L157" s="9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</row>
    <row r="158" spans="1:25" x14ac:dyDescent="0.3">
      <c r="A158" s="98"/>
      <c r="B158" s="99"/>
      <c r="C158" s="99"/>
      <c r="D158" s="99"/>
      <c r="E158" s="99"/>
      <c r="F158" s="98"/>
      <c r="G158" s="98"/>
      <c r="H158" s="98"/>
      <c r="I158" s="98"/>
      <c r="J158" s="98"/>
      <c r="K158" s="98"/>
      <c r="L158" s="9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</row>
    <row r="159" spans="1:25" x14ac:dyDescent="0.3">
      <c r="A159" s="98"/>
      <c r="B159" s="99"/>
      <c r="C159" s="99"/>
      <c r="D159" s="99"/>
      <c r="E159" s="99"/>
      <c r="F159" s="98"/>
      <c r="G159" s="98"/>
      <c r="H159" s="98"/>
      <c r="I159" s="98"/>
      <c r="J159" s="98"/>
      <c r="K159" s="98"/>
      <c r="L159" s="9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</row>
    <row r="160" spans="1:25" x14ac:dyDescent="0.3">
      <c r="A160" s="98"/>
      <c r="B160" s="99"/>
      <c r="C160" s="99"/>
      <c r="D160" s="99"/>
      <c r="E160" s="99"/>
      <c r="F160" s="98"/>
      <c r="G160" s="98"/>
      <c r="H160" s="98"/>
      <c r="I160" s="98"/>
      <c r="J160" s="98"/>
      <c r="K160" s="98"/>
      <c r="L160" s="9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</row>
    <row r="161" spans="1:25" x14ac:dyDescent="0.3">
      <c r="A161" s="98"/>
      <c r="B161" s="99"/>
      <c r="C161" s="99"/>
      <c r="D161" s="99"/>
      <c r="E161" s="99"/>
      <c r="F161" s="98"/>
      <c r="G161" s="98"/>
      <c r="H161" s="98"/>
      <c r="I161" s="98"/>
      <c r="J161" s="98"/>
      <c r="K161" s="98"/>
      <c r="L161" s="9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</row>
    <row r="162" spans="1:25" x14ac:dyDescent="0.3">
      <c r="A162" s="98"/>
      <c r="B162" s="99"/>
      <c r="C162" s="99"/>
      <c r="D162" s="99"/>
      <c r="E162" s="99"/>
      <c r="F162" s="98"/>
      <c r="G162" s="98"/>
      <c r="H162" s="98"/>
      <c r="I162" s="98"/>
      <c r="J162" s="98"/>
      <c r="K162" s="98"/>
      <c r="L162" s="9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</row>
    <row r="163" spans="1:25" x14ac:dyDescent="0.3">
      <c r="A163" s="98"/>
      <c r="B163" s="99"/>
      <c r="C163" s="99"/>
      <c r="D163" s="99"/>
      <c r="E163" s="99"/>
      <c r="F163" s="98"/>
      <c r="G163" s="98"/>
      <c r="H163" s="98"/>
      <c r="I163" s="98"/>
      <c r="J163" s="98"/>
      <c r="K163" s="98"/>
      <c r="L163" s="9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</row>
    <row r="164" spans="1:25" x14ac:dyDescent="0.3">
      <c r="A164" s="98"/>
      <c r="B164" s="99"/>
      <c r="C164" s="99"/>
      <c r="D164" s="99"/>
      <c r="E164" s="99"/>
      <c r="F164" s="98"/>
      <c r="G164" s="98"/>
      <c r="H164" s="98"/>
      <c r="I164" s="98"/>
      <c r="J164" s="98"/>
      <c r="K164" s="98"/>
      <c r="L164" s="9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</row>
    <row r="165" spans="1:25" x14ac:dyDescent="0.3">
      <c r="A165" s="98"/>
      <c r="B165" s="99"/>
      <c r="C165" s="99"/>
      <c r="D165" s="99"/>
      <c r="E165" s="99"/>
      <c r="F165" s="98"/>
      <c r="G165" s="98"/>
      <c r="H165" s="98"/>
      <c r="I165" s="98"/>
      <c r="J165" s="98"/>
      <c r="K165" s="98"/>
      <c r="L165" s="9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</row>
    <row r="166" spans="1:25" x14ac:dyDescent="0.3">
      <c r="A166" s="98"/>
      <c r="B166" s="99"/>
      <c r="C166" s="99"/>
      <c r="D166" s="99"/>
      <c r="E166" s="99"/>
      <c r="F166" s="98"/>
      <c r="G166" s="98"/>
      <c r="H166" s="98"/>
      <c r="I166" s="98"/>
      <c r="J166" s="98"/>
      <c r="K166" s="98"/>
      <c r="L166" s="9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</row>
    <row r="167" spans="1:25" x14ac:dyDescent="0.3">
      <c r="A167" s="98"/>
      <c r="B167" s="99"/>
      <c r="C167" s="99"/>
      <c r="D167" s="99"/>
      <c r="E167" s="99"/>
      <c r="F167" s="98"/>
      <c r="G167" s="98"/>
      <c r="H167" s="98"/>
      <c r="I167" s="98"/>
      <c r="J167" s="98"/>
      <c r="K167" s="98"/>
      <c r="L167" s="9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5" x14ac:dyDescent="0.3">
      <c r="A168" s="98"/>
      <c r="B168" s="99"/>
      <c r="C168" s="99"/>
      <c r="D168" s="99"/>
      <c r="E168" s="99"/>
      <c r="F168" s="98"/>
      <c r="G168" s="98"/>
      <c r="H168" s="98"/>
      <c r="I168" s="98"/>
      <c r="J168" s="98"/>
      <c r="K168" s="98"/>
      <c r="L168" s="9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</row>
    <row r="169" spans="1:25" x14ac:dyDescent="0.3">
      <c r="A169" s="98"/>
      <c r="B169" s="99"/>
      <c r="C169" s="99"/>
      <c r="D169" s="99"/>
      <c r="E169" s="99"/>
      <c r="F169" s="98"/>
      <c r="G169" s="98"/>
      <c r="H169" s="98"/>
      <c r="I169" s="98"/>
      <c r="J169" s="98"/>
      <c r="K169" s="98"/>
      <c r="L169" s="9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</row>
    <row r="170" spans="1:25" x14ac:dyDescent="0.3">
      <c r="A170" s="98"/>
      <c r="B170" s="99"/>
      <c r="C170" s="99"/>
      <c r="D170" s="99"/>
      <c r="E170" s="99"/>
      <c r="F170" s="98"/>
      <c r="G170" s="98"/>
      <c r="H170" s="98"/>
      <c r="I170" s="98"/>
      <c r="J170" s="98"/>
      <c r="K170" s="98"/>
      <c r="L170" s="9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</row>
    <row r="171" spans="1:25" x14ac:dyDescent="0.3">
      <c r="A171" s="98"/>
      <c r="B171" s="99"/>
      <c r="C171" s="99"/>
      <c r="D171" s="99"/>
      <c r="E171" s="99"/>
      <c r="F171" s="98"/>
      <c r="G171" s="98"/>
      <c r="H171" s="98"/>
      <c r="I171" s="98"/>
      <c r="J171" s="98"/>
      <c r="K171" s="98"/>
      <c r="L171" s="9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</row>
    <row r="172" spans="1:25" x14ac:dyDescent="0.3">
      <c r="A172" s="98"/>
      <c r="B172" s="99"/>
      <c r="C172" s="99"/>
      <c r="D172" s="99"/>
      <c r="E172" s="99"/>
      <c r="F172" s="98"/>
      <c r="G172" s="98"/>
      <c r="H172" s="98"/>
      <c r="I172" s="98"/>
      <c r="J172" s="98"/>
      <c r="K172" s="98"/>
      <c r="L172" s="9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</row>
    <row r="173" spans="1:25" x14ac:dyDescent="0.3">
      <c r="A173" s="98"/>
      <c r="B173" s="99"/>
      <c r="C173" s="99"/>
      <c r="D173" s="99"/>
      <c r="E173" s="99"/>
      <c r="F173" s="98"/>
      <c r="G173" s="98"/>
      <c r="H173" s="98"/>
      <c r="I173" s="98"/>
      <c r="J173" s="98"/>
      <c r="K173" s="98"/>
      <c r="L173" s="9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</row>
    <row r="174" spans="1:25" x14ac:dyDescent="0.3">
      <c r="A174" s="98"/>
      <c r="B174" s="99"/>
      <c r="C174" s="99"/>
      <c r="D174" s="99"/>
      <c r="E174" s="99"/>
      <c r="F174" s="98"/>
      <c r="G174" s="98"/>
      <c r="H174" s="98"/>
      <c r="I174" s="98"/>
      <c r="J174" s="98"/>
      <c r="K174" s="98"/>
      <c r="L174" s="9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</row>
    <row r="175" spans="1:25" x14ac:dyDescent="0.3">
      <c r="A175" s="98"/>
      <c r="B175" s="99"/>
      <c r="C175" s="99"/>
      <c r="D175" s="99"/>
      <c r="E175" s="99"/>
      <c r="F175" s="98"/>
      <c r="G175" s="98"/>
      <c r="H175" s="98"/>
      <c r="I175" s="98"/>
      <c r="J175" s="98"/>
      <c r="K175" s="98"/>
      <c r="L175" s="9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</row>
    <row r="176" spans="1:25" x14ac:dyDescent="0.3">
      <c r="A176" s="98"/>
      <c r="B176" s="99"/>
      <c r="C176" s="99"/>
      <c r="D176" s="99"/>
      <c r="E176" s="99"/>
      <c r="F176" s="98"/>
      <c r="G176" s="98"/>
      <c r="H176" s="98"/>
      <c r="I176" s="98"/>
      <c r="J176" s="98"/>
      <c r="K176" s="98"/>
      <c r="L176" s="9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</row>
    <row r="177" spans="1:25" x14ac:dyDescent="0.3">
      <c r="A177" s="98"/>
      <c r="B177" s="99"/>
      <c r="C177" s="99"/>
      <c r="D177" s="99"/>
      <c r="E177" s="99"/>
      <c r="F177" s="98"/>
      <c r="G177" s="98"/>
      <c r="H177" s="98"/>
      <c r="I177" s="98"/>
      <c r="J177" s="98"/>
      <c r="K177" s="98"/>
      <c r="L177" s="9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</row>
    <row r="178" spans="1:25" x14ac:dyDescent="0.3">
      <c r="A178" s="98"/>
      <c r="B178" s="99"/>
      <c r="C178" s="99"/>
      <c r="D178" s="99"/>
      <c r="E178" s="99"/>
      <c r="F178" s="98"/>
      <c r="G178" s="98"/>
      <c r="H178" s="98"/>
      <c r="I178" s="98"/>
      <c r="J178" s="98"/>
      <c r="K178" s="98"/>
      <c r="L178" s="9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</row>
    <row r="179" spans="1:25" x14ac:dyDescent="0.3">
      <c r="A179" s="98"/>
      <c r="B179" s="99"/>
      <c r="C179" s="99"/>
      <c r="D179" s="99"/>
      <c r="E179" s="99"/>
      <c r="F179" s="98"/>
      <c r="G179" s="98"/>
      <c r="H179" s="98"/>
      <c r="I179" s="98"/>
      <c r="J179" s="98"/>
      <c r="K179" s="98"/>
      <c r="L179" s="9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</row>
    <row r="180" spans="1:25" x14ac:dyDescent="0.3">
      <c r="A180" s="98"/>
      <c r="B180" s="99"/>
      <c r="C180" s="99"/>
      <c r="D180" s="99"/>
      <c r="E180" s="99"/>
      <c r="F180" s="98"/>
      <c r="G180" s="98"/>
      <c r="H180" s="98"/>
      <c r="I180" s="98"/>
      <c r="J180" s="98"/>
      <c r="K180" s="98"/>
      <c r="L180" s="9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</row>
    <row r="181" spans="1:25" x14ac:dyDescent="0.3">
      <c r="A181" s="98"/>
      <c r="B181" s="99"/>
      <c r="C181" s="99"/>
      <c r="D181" s="99"/>
      <c r="E181" s="99"/>
      <c r="F181" s="98"/>
      <c r="G181" s="98"/>
      <c r="H181" s="98"/>
      <c r="I181" s="98"/>
      <c r="J181" s="98"/>
      <c r="K181" s="98"/>
      <c r="L181" s="9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</row>
    <row r="182" spans="1:25" x14ac:dyDescent="0.3">
      <c r="A182" s="98"/>
      <c r="B182" s="99"/>
      <c r="C182" s="99"/>
      <c r="D182" s="99"/>
      <c r="E182" s="99"/>
      <c r="F182" s="98"/>
      <c r="G182" s="98"/>
      <c r="H182" s="98"/>
      <c r="I182" s="98"/>
      <c r="J182" s="98"/>
      <c r="K182" s="98"/>
      <c r="L182" s="9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</row>
    <row r="183" spans="1:25" x14ac:dyDescent="0.3">
      <c r="A183" s="98"/>
      <c r="B183" s="99"/>
      <c r="C183" s="99"/>
      <c r="D183" s="99"/>
      <c r="E183" s="99"/>
      <c r="F183" s="98"/>
      <c r="G183" s="98"/>
      <c r="H183" s="98"/>
      <c r="I183" s="98"/>
      <c r="J183" s="98"/>
      <c r="K183" s="98"/>
      <c r="L183" s="9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</row>
    <row r="184" spans="1:25" x14ac:dyDescent="0.3">
      <c r="A184" s="98"/>
      <c r="B184" s="99"/>
      <c r="C184" s="99"/>
      <c r="D184" s="99"/>
      <c r="E184" s="99"/>
      <c r="F184" s="98"/>
      <c r="G184" s="98"/>
      <c r="H184" s="98"/>
      <c r="I184" s="98"/>
      <c r="J184" s="98"/>
      <c r="K184" s="98"/>
      <c r="L184" s="9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</row>
    <row r="185" spans="1:25" x14ac:dyDescent="0.3">
      <c r="A185" s="98"/>
      <c r="B185" s="99"/>
      <c r="C185" s="99"/>
      <c r="D185" s="99"/>
      <c r="E185" s="99"/>
      <c r="F185" s="98"/>
      <c r="G185" s="98"/>
      <c r="H185" s="98"/>
      <c r="I185" s="98"/>
      <c r="J185" s="98"/>
      <c r="K185" s="98"/>
      <c r="L185" s="9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</row>
    <row r="186" spans="1:25" x14ac:dyDescent="0.3">
      <c r="A186" s="98"/>
      <c r="B186" s="99"/>
      <c r="C186" s="99"/>
      <c r="D186" s="99"/>
      <c r="E186" s="99"/>
      <c r="F186" s="98"/>
      <c r="G186" s="98"/>
      <c r="H186" s="98"/>
      <c r="I186" s="98"/>
      <c r="J186" s="98"/>
      <c r="K186" s="98"/>
      <c r="L186" s="9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</row>
    <row r="187" spans="1:25" x14ac:dyDescent="0.3">
      <c r="A187" s="98"/>
      <c r="B187" s="99"/>
      <c r="C187" s="99"/>
      <c r="D187" s="99"/>
      <c r="E187" s="99"/>
      <c r="F187" s="98"/>
      <c r="G187" s="98"/>
      <c r="H187" s="98"/>
      <c r="I187" s="98"/>
      <c r="J187" s="98"/>
      <c r="K187" s="98"/>
      <c r="L187" s="9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</row>
    <row r="188" spans="1:25" x14ac:dyDescent="0.3">
      <c r="A188" s="98"/>
      <c r="B188" s="99"/>
      <c r="C188" s="99"/>
      <c r="D188" s="99"/>
      <c r="E188" s="99"/>
      <c r="F188" s="98"/>
      <c r="G188" s="98"/>
      <c r="H188" s="98"/>
      <c r="I188" s="98"/>
      <c r="J188" s="98"/>
      <c r="K188" s="98"/>
      <c r="L188" s="9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5" x14ac:dyDescent="0.3">
      <c r="A189" s="98"/>
      <c r="B189" s="99"/>
      <c r="C189" s="99"/>
      <c r="D189" s="99"/>
      <c r="E189" s="99"/>
      <c r="F189" s="98"/>
      <c r="G189" s="98"/>
      <c r="H189" s="98"/>
      <c r="I189" s="98"/>
      <c r="J189" s="98"/>
      <c r="K189" s="98"/>
      <c r="L189" s="9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</row>
    <row r="190" spans="1:25" x14ac:dyDescent="0.3">
      <c r="A190" s="98"/>
      <c r="B190" s="99"/>
      <c r="C190" s="99"/>
      <c r="D190" s="99"/>
      <c r="E190" s="99"/>
      <c r="F190" s="98"/>
      <c r="G190" s="98"/>
      <c r="H190" s="98"/>
      <c r="I190" s="98"/>
      <c r="J190" s="98"/>
      <c r="K190" s="98"/>
      <c r="L190" s="9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</row>
    <row r="191" spans="1:25" x14ac:dyDescent="0.3">
      <c r="A191" s="98"/>
      <c r="B191" s="99"/>
      <c r="C191" s="99"/>
      <c r="D191" s="99"/>
      <c r="E191" s="99"/>
      <c r="F191" s="98"/>
      <c r="G191" s="98"/>
      <c r="H191" s="98"/>
      <c r="I191" s="98"/>
      <c r="J191" s="98"/>
      <c r="K191" s="98"/>
      <c r="L191" s="9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</row>
    <row r="192" spans="1:25" x14ac:dyDescent="0.3">
      <c r="A192" s="98"/>
      <c r="B192" s="99"/>
      <c r="C192" s="99"/>
      <c r="D192" s="99"/>
      <c r="E192" s="99"/>
      <c r="F192" s="98"/>
      <c r="G192" s="98"/>
      <c r="H192" s="98"/>
      <c r="I192" s="98"/>
      <c r="J192" s="98"/>
      <c r="K192" s="98"/>
      <c r="L192" s="9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</row>
    <row r="193" spans="1:25" x14ac:dyDescent="0.3">
      <c r="A193" s="98"/>
      <c r="B193" s="99"/>
      <c r="C193" s="99"/>
      <c r="D193" s="99"/>
      <c r="E193" s="99"/>
      <c r="F193" s="98"/>
      <c r="G193" s="98"/>
      <c r="H193" s="98"/>
      <c r="I193" s="98"/>
      <c r="J193" s="98"/>
      <c r="K193" s="98"/>
      <c r="L193" s="9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</row>
    <row r="194" spans="1:25" x14ac:dyDescent="0.3">
      <c r="A194" s="98"/>
      <c r="B194" s="99"/>
      <c r="C194" s="99"/>
      <c r="D194" s="99"/>
      <c r="E194" s="99"/>
      <c r="F194" s="98"/>
      <c r="G194" s="98"/>
      <c r="H194" s="98"/>
      <c r="I194" s="98"/>
      <c r="J194" s="98"/>
      <c r="K194" s="98"/>
      <c r="L194" s="9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</row>
    <row r="195" spans="1:25" x14ac:dyDescent="0.3">
      <c r="A195" s="98"/>
      <c r="B195" s="99"/>
      <c r="C195" s="99"/>
      <c r="D195" s="99"/>
      <c r="E195" s="99"/>
      <c r="F195" s="98"/>
      <c r="G195" s="98"/>
      <c r="H195" s="98"/>
      <c r="I195" s="98"/>
      <c r="J195" s="98"/>
      <c r="K195" s="98"/>
      <c r="L195" s="9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</row>
    <row r="196" spans="1:25" x14ac:dyDescent="0.3">
      <c r="A196" s="98"/>
      <c r="B196" s="99"/>
      <c r="C196" s="99"/>
      <c r="D196" s="99"/>
      <c r="E196" s="99"/>
      <c r="F196" s="98"/>
      <c r="G196" s="98"/>
      <c r="H196" s="98"/>
      <c r="I196" s="98"/>
      <c r="J196" s="98"/>
      <c r="K196" s="98"/>
      <c r="L196" s="9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</row>
    <row r="197" spans="1:25" x14ac:dyDescent="0.3">
      <c r="A197" s="98"/>
      <c r="B197" s="99"/>
      <c r="C197" s="99"/>
      <c r="D197" s="99"/>
      <c r="E197" s="99"/>
      <c r="F197" s="98"/>
      <c r="G197" s="98"/>
      <c r="H197" s="98"/>
      <c r="I197" s="98"/>
      <c r="J197" s="98"/>
      <c r="K197" s="98"/>
      <c r="L197" s="9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</row>
    <row r="198" spans="1:25" x14ac:dyDescent="0.3">
      <c r="A198" s="98"/>
      <c r="B198" s="99"/>
      <c r="C198" s="99"/>
      <c r="D198" s="99"/>
      <c r="E198" s="99"/>
      <c r="F198" s="98"/>
      <c r="G198" s="98"/>
      <c r="H198" s="98"/>
      <c r="I198" s="98"/>
      <c r="J198" s="98"/>
      <c r="K198" s="98"/>
      <c r="L198" s="9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</row>
    <row r="199" spans="1:25" x14ac:dyDescent="0.3">
      <c r="A199" s="98"/>
      <c r="B199" s="99"/>
      <c r="C199" s="99"/>
      <c r="D199" s="99"/>
      <c r="E199" s="99"/>
      <c r="F199" s="98"/>
      <c r="G199" s="98"/>
      <c r="H199" s="98"/>
      <c r="I199" s="98"/>
      <c r="J199" s="98"/>
      <c r="K199" s="98"/>
      <c r="L199" s="9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</row>
    <row r="200" spans="1:25" x14ac:dyDescent="0.3">
      <c r="A200" s="98"/>
      <c r="B200" s="99"/>
      <c r="C200" s="99"/>
      <c r="D200" s="99"/>
      <c r="E200" s="99"/>
      <c r="F200" s="98"/>
      <c r="G200" s="98"/>
      <c r="H200" s="98"/>
      <c r="I200" s="98"/>
      <c r="J200" s="98"/>
      <c r="K200" s="98"/>
      <c r="L200" s="9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</row>
    <row r="201" spans="1:25" x14ac:dyDescent="0.3">
      <c r="A201" s="98"/>
      <c r="B201" s="99"/>
      <c r="C201" s="99"/>
      <c r="D201" s="99"/>
      <c r="E201" s="99"/>
      <c r="F201" s="98"/>
      <c r="G201" s="98"/>
      <c r="H201" s="98"/>
      <c r="I201" s="98"/>
      <c r="J201" s="98"/>
      <c r="K201" s="98"/>
      <c r="L201" s="9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</row>
    <row r="202" spans="1:25" x14ac:dyDescent="0.3">
      <c r="A202" s="98"/>
      <c r="B202" s="99"/>
      <c r="C202" s="99"/>
      <c r="D202" s="99"/>
      <c r="E202" s="99"/>
      <c r="F202" s="98"/>
      <c r="G202" s="98"/>
      <c r="H202" s="98"/>
      <c r="I202" s="98"/>
      <c r="J202" s="98"/>
      <c r="K202" s="98"/>
      <c r="L202" s="9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</row>
    <row r="203" spans="1:25" x14ac:dyDescent="0.3">
      <c r="A203" s="98"/>
      <c r="B203" s="99"/>
      <c r="C203" s="99"/>
      <c r="D203" s="99"/>
      <c r="E203" s="99"/>
      <c r="F203" s="98"/>
      <c r="G203" s="98"/>
      <c r="H203" s="98"/>
      <c r="I203" s="98"/>
      <c r="J203" s="98"/>
      <c r="K203" s="98"/>
      <c r="L203" s="9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</row>
    <row r="204" spans="1:25" x14ac:dyDescent="0.3">
      <c r="A204" s="98"/>
      <c r="B204" s="99"/>
      <c r="C204" s="99"/>
      <c r="D204" s="99"/>
      <c r="E204" s="99"/>
      <c r="F204" s="98"/>
      <c r="G204" s="98"/>
      <c r="H204" s="98"/>
      <c r="I204" s="98"/>
      <c r="J204" s="98"/>
      <c r="K204" s="98"/>
      <c r="L204" s="9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</row>
    <row r="205" spans="1:25" x14ac:dyDescent="0.3">
      <c r="A205" s="98"/>
      <c r="B205" s="99"/>
      <c r="C205" s="99"/>
      <c r="D205" s="99"/>
      <c r="E205" s="99"/>
      <c r="F205" s="98"/>
      <c r="G205" s="98"/>
      <c r="H205" s="98"/>
      <c r="I205" s="98"/>
      <c r="J205" s="98"/>
      <c r="K205" s="98"/>
      <c r="L205" s="9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</row>
    <row r="206" spans="1:25" x14ac:dyDescent="0.3">
      <c r="A206" s="98"/>
      <c r="B206" s="99"/>
      <c r="C206" s="99"/>
      <c r="D206" s="99"/>
      <c r="E206" s="99"/>
      <c r="F206" s="98"/>
      <c r="G206" s="98"/>
      <c r="H206" s="98"/>
      <c r="I206" s="98"/>
      <c r="J206" s="98"/>
      <c r="K206" s="98"/>
      <c r="L206" s="9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</row>
    <row r="207" spans="1:25" x14ac:dyDescent="0.3">
      <c r="A207" s="98"/>
      <c r="B207" s="99"/>
      <c r="C207" s="99"/>
      <c r="D207" s="99"/>
      <c r="E207" s="99"/>
      <c r="F207" s="98"/>
      <c r="G207" s="98"/>
      <c r="H207" s="98"/>
      <c r="I207" s="98"/>
      <c r="J207" s="98"/>
      <c r="K207" s="98"/>
      <c r="L207" s="9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</row>
    <row r="208" spans="1:25" x14ac:dyDescent="0.3">
      <c r="A208" s="98"/>
      <c r="B208" s="99"/>
      <c r="C208" s="99"/>
      <c r="D208" s="99"/>
      <c r="E208" s="99"/>
      <c r="F208" s="98"/>
      <c r="G208" s="98"/>
      <c r="H208" s="98"/>
      <c r="I208" s="98"/>
      <c r="J208" s="98"/>
      <c r="K208" s="98"/>
      <c r="L208" s="9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</row>
    <row r="209" spans="1:25" x14ac:dyDescent="0.3">
      <c r="A209" s="98"/>
      <c r="B209" s="99"/>
      <c r="C209" s="99"/>
      <c r="D209" s="99"/>
      <c r="E209" s="99"/>
      <c r="F209" s="98"/>
      <c r="G209" s="98"/>
      <c r="H209" s="98"/>
      <c r="I209" s="98"/>
      <c r="J209" s="98"/>
      <c r="K209" s="98"/>
      <c r="L209" s="9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</row>
    <row r="210" spans="1:25" x14ac:dyDescent="0.3">
      <c r="A210" s="98"/>
      <c r="B210" s="99"/>
      <c r="C210" s="99"/>
      <c r="D210" s="99"/>
      <c r="E210" s="99"/>
      <c r="F210" s="98"/>
      <c r="G210" s="98"/>
      <c r="H210" s="98"/>
      <c r="I210" s="98"/>
      <c r="J210" s="98"/>
      <c r="K210" s="98"/>
      <c r="L210" s="9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</row>
    <row r="211" spans="1:25" x14ac:dyDescent="0.3">
      <c r="A211" s="98"/>
      <c r="B211" s="99"/>
      <c r="C211" s="99"/>
      <c r="D211" s="99"/>
      <c r="E211" s="99"/>
      <c r="F211" s="98"/>
      <c r="G211" s="98"/>
      <c r="H211" s="98"/>
      <c r="I211" s="98"/>
      <c r="J211" s="98"/>
      <c r="K211" s="98"/>
      <c r="L211" s="9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</row>
    <row r="212" spans="1:25" x14ac:dyDescent="0.3">
      <c r="A212" s="98"/>
      <c r="B212" s="99"/>
      <c r="C212" s="99"/>
      <c r="D212" s="99"/>
      <c r="E212" s="99"/>
      <c r="F212" s="98"/>
      <c r="G212" s="98"/>
      <c r="H212" s="98"/>
      <c r="I212" s="98"/>
      <c r="J212" s="98"/>
      <c r="K212" s="98"/>
      <c r="L212" s="9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</row>
    <row r="213" spans="1:25" x14ac:dyDescent="0.3">
      <c r="A213" s="98"/>
      <c r="B213" s="99"/>
      <c r="C213" s="99"/>
      <c r="D213" s="99"/>
      <c r="E213" s="99"/>
      <c r="F213" s="98"/>
      <c r="G213" s="98"/>
      <c r="H213" s="98"/>
      <c r="I213" s="98"/>
      <c r="J213" s="98"/>
      <c r="K213" s="98"/>
      <c r="L213" s="9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</row>
    <row r="214" spans="1:25" x14ac:dyDescent="0.3">
      <c r="A214" s="98"/>
      <c r="B214" s="99"/>
      <c r="C214" s="99"/>
      <c r="D214" s="99"/>
      <c r="E214" s="99"/>
      <c r="F214" s="98"/>
      <c r="G214" s="98"/>
      <c r="H214" s="98"/>
      <c r="I214" s="98"/>
      <c r="J214" s="98"/>
      <c r="K214" s="98"/>
      <c r="L214" s="9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</row>
    <row r="215" spans="1:25" x14ac:dyDescent="0.3">
      <c r="A215" s="98"/>
      <c r="B215" s="99"/>
      <c r="C215" s="99"/>
      <c r="D215" s="99"/>
      <c r="E215" s="99"/>
      <c r="F215" s="98"/>
      <c r="G215" s="98"/>
      <c r="H215" s="98"/>
      <c r="I215" s="98"/>
      <c r="J215" s="98"/>
      <c r="K215" s="98"/>
      <c r="L215" s="9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</row>
    <row r="216" spans="1:25" x14ac:dyDescent="0.3">
      <c r="A216" s="98"/>
      <c r="B216" s="99"/>
      <c r="C216" s="99"/>
      <c r="D216" s="99"/>
      <c r="E216" s="99"/>
      <c r="F216" s="98"/>
      <c r="G216" s="98"/>
      <c r="H216" s="98"/>
      <c r="I216" s="98"/>
      <c r="J216" s="98"/>
      <c r="K216" s="98"/>
      <c r="L216" s="9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</row>
    <row r="217" spans="1:25" x14ac:dyDescent="0.3">
      <c r="A217" s="98"/>
      <c r="B217" s="99"/>
      <c r="C217" s="99"/>
      <c r="D217" s="99"/>
      <c r="E217" s="99"/>
      <c r="F217" s="98"/>
      <c r="G217" s="98"/>
      <c r="H217" s="98"/>
      <c r="I217" s="98"/>
      <c r="J217" s="98"/>
      <c r="K217" s="98"/>
      <c r="L217" s="9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</row>
    <row r="218" spans="1:25" x14ac:dyDescent="0.3">
      <c r="A218" s="98"/>
      <c r="B218" s="99"/>
      <c r="C218" s="99"/>
      <c r="D218" s="99"/>
      <c r="E218" s="99"/>
      <c r="F218" s="98"/>
      <c r="G218" s="98"/>
      <c r="H218" s="98"/>
      <c r="I218" s="98"/>
      <c r="J218" s="98"/>
      <c r="K218" s="98"/>
      <c r="L218" s="9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</row>
    <row r="219" spans="1:25" x14ac:dyDescent="0.3">
      <c r="A219" s="98"/>
      <c r="B219" s="99"/>
      <c r="C219" s="99"/>
      <c r="D219" s="99"/>
      <c r="E219" s="99"/>
      <c r="F219" s="98"/>
      <c r="G219" s="98"/>
      <c r="H219" s="98"/>
      <c r="I219" s="98"/>
      <c r="J219" s="98"/>
      <c r="K219" s="98"/>
      <c r="L219" s="9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</row>
    <row r="220" spans="1:25" x14ac:dyDescent="0.3">
      <c r="A220" s="98"/>
      <c r="B220" s="99"/>
      <c r="C220" s="99"/>
      <c r="D220" s="99"/>
      <c r="E220" s="99"/>
      <c r="F220" s="98"/>
      <c r="G220" s="98"/>
      <c r="H220" s="98"/>
      <c r="I220" s="98"/>
      <c r="J220" s="98"/>
      <c r="K220" s="98"/>
      <c r="L220" s="9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</row>
    <row r="221" spans="1:25" x14ac:dyDescent="0.3">
      <c r="A221" s="98"/>
      <c r="B221" s="99"/>
      <c r="C221" s="99"/>
      <c r="D221" s="99"/>
      <c r="E221" s="99"/>
      <c r="F221" s="98"/>
      <c r="G221" s="98"/>
      <c r="H221" s="98"/>
      <c r="I221" s="98"/>
      <c r="J221" s="98"/>
      <c r="K221" s="98"/>
      <c r="L221" s="9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</row>
    <row r="222" spans="1:25" x14ac:dyDescent="0.3">
      <c r="A222" s="98"/>
      <c r="B222" s="99"/>
      <c r="C222" s="99"/>
      <c r="D222" s="99"/>
      <c r="E222" s="99"/>
      <c r="F222" s="98"/>
      <c r="G222" s="98"/>
      <c r="H222" s="98"/>
      <c r="I222" s="98"/>
      <c r="J222" s="98"/>
      <c r="K222" s="98"/>
      <c r="L222" s="9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</row>
    <row r="223" spans="1:25" x14ac:dyDescent="0.3">
      <c r="A223" s="98"/>
      <c r="B223" s="99"/>
      <c r="C223" s="99"/>
      <c r="D223" s="99"/>
      <c r="E223" s="99"/>
      <c r="F223" s="98"/>
      <c r="G223" s="98"/>
      <c r="H223" s="98"/>
      <c r="I223" s="98"/>
      <c r="J223" s="98"/>
      <c r="K223" s="98"/>
      <c r="L223" s="9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</row>
    <row r="224" spans="1:25" x14ac:dyDescent="0.3">
      <c r="A224" s="98"/>
      <c r="B224" s="99"/>
      <c r="C224" s="99"/>
      <c r="D224" s="99"/>
      <c r="E224" s="99"/>
      <c r="F224" s="98"/>
      <c r="G224" s="98"/>
      <c r="H224" s="98"/>
      <c r="I224" s="98"/>
      <c r="J224" s="98"/>
      <c r="K224" s="98"/>
      <c r="L224" s="9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</row>
    <row r="225" spans="1:25" x14ac:dyDescent="0.3">
      <c r="A225" s="98"/>
      <c r="B225" s="99"/>
      <c r="C225" s="99"/>
      <c r="D225" s="99"/>
      <c r="E225" s="99"/>
      <c r="F225" s="98"/>
      <c r="G225" s="98"/>
      <c r="H225" s="98"/>
      <c r="I225" s="98"/>
      <c r="J225" s="98"/>
      <c r="K225" s="98"/>
      <c r="L225" s="9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</row>
    <row r="226" spans="1:25" x14ac:dyDescent="0.3">
      <c r="A226" s="98"/>
      <c r="B226" s="99"/>
      <c r="C226" s="99"/>
      <c r="D226" s="99"/>
      <c r="E226" s="99"/>
      <c r="F226" s="98"/>
      <c r="G226" s="98"/>
      <c r="H226" s="98"/>
      <c r="I226" s="98"/>
      <c r="J226" s="98"/>
      <c r="K226" s="98"/>
      <c r="L226" s="9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</row>
    <row r="227" spans="1:25" x14ac:dyDescent="0.3">
      <c r="A227" s="98"/>
      <c r="B227" s="99"/>
      <c r="C227" s="99"/>
      <c r="D227" s="99"/>
      <c r="E227" s="99"/>
      <c r="F227" s="98"/>
      <c r="G227" s="98"/>
      <c r="H227" s="98"/>
      <c r="I227" s="98"/>
      <c r="J227" s="98"/>
      <c r="K227" s="98"/>
      <c r="L227" s="9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</row>
    <row r="228" spans="1:25" x14ac:dyDescent="0.3">
      <c r="A228" s="98"/>
      <c r="B228" s="99"/>
      <c r="C228" s="99"/>
      <c r="D228" s="99"/>
      <c r="E228" s="99"/>
      <c r="F228" s="98"/>
      <c r="G228" s="98"/>
      <c r="H228" s="98"/>
      <c r="I228" s="98"/>
      <c r="J228" s="98"/>
      <c r="K228" s="98"/>
      <c r="L228" s="9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</row>
    <row r="229" spans="1:25" x14ac:dyDescent="0.3">
      <c r="A229" s="98"/>
      <c r="B229" s="99"/>
      <c r="C229" s="99"/>
      <c r="D229" s="99"/>
      <c r="E229" s="99"/>
      <c r="F229" s="98"/>
      <c r="G229" s="98"/>
      <c r="H229" s="98"/>
      <c r="I229" s="98"/>
      <c r="J229" s="98"/>
      <c r="K229" s="98"/>
      <c r="L229" s="9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</row>
    <row r="230" spans="1:25" x14ac:dyDescent="0.3">
      <c r="A230" s="98"/>
      <c r="B230" s="99"/>
      <c r="C230" s="99"/>
      <c r="D230" s="99"/>
      <c r="E230" s="99"/>
      <c r="F230" s="98"/>
      <c r="G230" s="98"/>
      <c r="H230" s="98"/>
      <c r="I230" s="98"/>
      <c r="J230" s="98"/>
      <c r="K230" s="98"/>
      <c r="L230" s="9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</row>
    <row r="231" spans="1:25" x14ac:dyDescent="0.3">
      <c r="A231" s="98"/>
      <c r="B231" s="99"/>
      <c r="C231" s="99"/>
      <c r="D231" s="99"/>
      <c r="E231" s="99"/>
      <c r="F231" s="98"/>
      <c r="G231" s="98"/>
      <c r="H231" s="98"/>
      <c r="I231" s="98"/>
      <c r="J231" s="98"/>
      <c r="K231" s="98"/>
      <c r="L231" s="9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</row>
    <row r="232" spans="1:25" x14ac:dyDescent="0.3">
      <c r="A232" s="98"/>
      <c r="B232" s="99"/>
      <c r="C232" s="99"/>
      <c r="D232" s="99"/>
      <c r="E232" s="99"/>
      <c r="F232" s="98"/>
      <c r="G232" s="98"/>
      <c r="H232" s="98"/>
      <c r="I232" s="98"/>
      <c r="J232" s="98"/>
      <c r="K232" s="98"/>
      <c r="L232" s="9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</row>
    <row r="233" spans="1:25" x14ac:dyDescent="0.3">
      <c r="A233" s="98"/>
      <c r="B233" s="99"/>
      <c r="C233" s="99"/>
      <c r="D233" s="99"/>
      <c r="E233" s="99"/>
      <c r="F233" s="98"/>
      <c r="G233" s="98"/>
      <c r="H233" s="98"/>
      <c r="I233" s="98"/>
      <c r="J233" s="98"/>
      <c r="K233" s="98"/>
      <c r="L233" s="9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</row>
    <row r="234" spans="1:25" x14ac:dyDescent="0.3">
      <c r="A234" s="98"/>
      <c r="B234" s="99"/>
      <c r="C234" s="99"/>
      <c r="D234" s="99"/>
      <c r="E234" s="99"/>
      <c r="F234" s="98"/>
      <c r="G234" s="98"/>
      <c r="H234" s="98"/>
      <c r="I234" s="98"/>
      <c r="J234" s="98"/>
      <c r="K234" s="98"/>
      <c r="L234" s="9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</row>
    <row r="235" spans="1:25" x14ac:dyDescent="0.3">
      <c r="A235" s="98"/>
      <c r="B235" s="99"/>
      <c r="C235" s="99"/>
      <c r="D235" s="99"/>
      <c r="E235" s="99"/>
      <c r="F235" s="98"/>
      <c r="G235" s="98"/>
      <c r="H235" s="98"/>
      <c r="I235" s="98"/>
      <c r="J235" s="98"/>
      <c r="K235" s="98"/>
      <c r="L235" s="9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</row>
    <row r="236" spans="1:25" x14ac:dyDescent="0.3">
      <c r="A236" s="98"/>
      <c r="B236" s="99"/>
      <c r="C236" s="99"/>
      <c r="D236" s="99"/>
      <c r="E236" s="99"/>
      <c r="F236" s="98"/>
      <c r="G236" s="98"/>
      <c r="H236" s="98"/>
      <c r="I236" s="98"/>
      <c r="J236" s="98"/>
      <c r="K236" s="98"/>
      <c r="L236" s="9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</row>
    <row r="237" spans="1:25" x14ac:dyDescent="0.3">
      <c r="A237" s="98"/>
      <c r="B237" s="99"/>
      <c r="C237" s="99"/>
      <c r="D237" s="99"/>
      <c r="E237" s="99"/>
      <c r="F237" s="98"/>
      <c r="G237" s="98"/>
      <c r="H237" s="98"/>
      <c r="I237" s="98"/>
      <c r="J237" s="98"/>
      <c r="K237" s="98"/>
      <c r="L237" s="9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</row>
    <row r="238" spans="1:25" x14ac:dyDescent="0.3">
      <c r="A238" s="98"/>
      <c r="B238" s="99"/>
      <c r="C238" s="99"/>
      <c r="D238" s="99"/>
      <c r="E238" s="99"/>
      <c r="F238" s="98"/>
      <c r="G238" s="98"/>
      <c r="H238" s="98"/>
      <c r="I238" s="98"/>
      <c r="J238" s="98"/>
      <c r="K238" s="98"/>
      <c r="L238" s="9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</row>
    <row r="239" spans="1:25" x14ac:dyDescent="0.3">
      <c r="A239" s="98"/>
      <c r="B239" s="99"/>
      <c r="C239" s="99"/>
      <c r="D239" s="99"/>
      <c r="E239" s="99"/>
      <c r="F239" s="98"/>
      <c r="G239" s="98"/>
      <c r="H239" s="98"/>
      <c r="I239" s="98"/>
      <c r="J239" s="98"/>
      <c r="K239" s="98"/>
      <c r="L239" s="9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</row>
    <row r="240" spans="1:25" x14ac:dyDescent="0.3">
      <c r="A240" s="98"/>
      <c r="B240" s="99"/>
      <c r="C240" s="99"/>
      <c r="D240" s="99"/>
      <c r="E240" s="99"/>
      <c r="F240" s="98"/>
      <c r="G240" s="98"/>
      <c r="H240" s="98"/>
      <c r="I240" s="98"/>
      <c r="J240" s="98"/>
      <c r="K240" s="98"/>
      <c r="L240" s="9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</row>
    <row r="241" spans="1:25" x14ac:dyDescent="0.3">
      <c r="A241" s="98"/>
      <c r="B241" s="99"/>
      <c r="C241" s="99"/>
      <c r="D241" s="99"/>
      <c r="E241" s="99"/>
      <c r="F241" s="98"/>
      <c r="G241" s="98"/>
      <c r="H241" s="98"/>
      <c r="I241" s="98"/>
      <c r="J241" s="98"/>
      <c r="K241" s="98"/>
      <c r="L241" s="9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</row>
    <row r="242" spans="1:25" x14ac:dyDescent="0.3">
      <c r="A242" s="98"/>
      <c r="B242" s="99"/>
      <c r="C242" s="99"/>
      <c r="D242" s="99"/>
      <c r="E242" s="99"/>
      <c r="F242" s="98"/>
      <c r="G242" s="98"/>
      <c r="H242" s="98"/>
      <c r="I242" s="98"/>
      <c r="J242" s="98"/>
      <c r="K242" s="98"/>
      <c r="L242" s="9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</row>
    <row r="243" spans="1:25" x14ac:dyDescent="0.3">
      <c r="A243" s="98"/>
      <c r="B243" s="99"/>
      <c r="C243" s="99"/>
      <c r="D243" s="99"/>
      <c r="E243" s="99"/>
      <c r="F243" s="98"/>
      <c r="G243" s="98"/>
      <c r="H243" s="98"/>
      <c r="I243" s="98"/>
      <c r="J243" s="98"/>
      <c r="K243" s="98"/>
      <c r="L243" s="9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</row>
    <row r="244" spans="1:25" x14ac:dyDescent="0.3">
      <c r="A244" s="98"/>
      <c r="B244" s="99"/>
      <c r="C244" s="99"/>
      <c r="D244" s="99"/>
      <c r="E244" s="99"/>
      <c r="F244" s="98"/>
      <c r="G244" s="98"/>
      <c r="H244" s="98"/>
      <c r="I244" s="98"/>
      <c r="J244" s="98"/>
      <c r="K244" s="98"/>
      <c r="L244" s="9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</row>
    <row r="245" spans="1:25" x14ac:dyDescent="0.3">
      <c r="A245" s="98"/>
      <c r="B245" s="99"/>
      <c r="C245" s="99"/>
      <c r="D245" s="99"/>
      <c r="E245" s="99"/>
      <c r="F245" s="98"/>
      <c r="G245" s="98"/>
      <c r="H245" s="98"/>
      <c r="I245" s="98"/>
      <c r="J245" s="98"/>
      <c r="K245" s="98"/>
      <c r="L245" s="9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</row>
    <row r="246" spans="1:25" x14ac:dyDescent="0.3">
      <c r="A246" s="98"/>
      <c r="B246" s="99"/>
      <c r="C246" s="99"/>
      <c r="D246" s="99"/>
      <c r="E246" s="99"/>
      <c r="F246" s="98"/>
      <c r="G246" s="98"/>
      <c r="H246" s="98"/>
      <c r="I246" s="98"/>
      <c r="J246" s="98"/>
      <c r="K246" s="98"/>
      <c r="L246" s="9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</row>
    <row r="247" spans="1:25" x14ac:dyDescent="0.3">
      <c r="A247" s="98"/>
      <c r="B247" s="99"/>
      <c r="C247" s="99"/>
      <c r="D247" s="99"/>
      <c r="E247" s="99"/>
      <c r="F247" s="98"/>
      <c r="G247" s="98"/>
      <c r="H247" s="98"/>
      <c r="I247" s="98"/>
      <c r="J247" s="98"/>
      <c r="K247" s="98"/>
      <c r="L247" s="9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</row>
    <row r="248" spans="1:25" x14ac:dyDescent="0.3">
      <c r="A248" s="98"/>
      <c r="B248" s="99"/>
      <c r="C248" s="99"/>
      <c r="D248" s="99"/>
      <c r="E248" s="99"/>
      <c r="F248" s="98"/>
      <c r="G248" s="98"/>
      <c r="H248" s="98"/>
      <c r="I248" s="98"/>
      <c r="J248" s="98"/>
      <c r="K248" s="98"/>
      <c r="L248" s="9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</row>
    <row r="249" spans="1:25" x14ac:dyDescent="0.3">
      <c r="A249" s="98"/>
      <c r="B249" s="99"/>
      <c r="C249" s="99"/>
      <c r="D249" s="99"/>
      <c r="E249" s="99"/>
      <c r="F249" s="98"/>
      <c r="G249" s="98"/>
      <c r="H249" s="98"/>
      <c r="I249" s="98"/>
      <c r="J249" s="98"/>
      <c r="K249" s="98"/>
      <c r="L249" s="9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</row>
    <row r="250" spans="1:25" x14ac:dyDescent="0.3">
      <c r="A250" s="98"/>
      <c r="B250" s="99"/>
      <c r="C250" s="99"/>
      <c r="D250" s="99"/>
      <c r="E250" s="99"/>
      <c r="F250" s="98"/>
      <c r="G250" s="98"/>
      <c r="H250" s="98"/>
      <c r="I250" s="98"/>
      <c r="J250" s="98"/>
      <c r="K250" s="98"/>
      <c r="L250" s="9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</row>
    <row r="251" spans="1:25" x14ac:dyDescent="0.3">
      <c r="A251" s="98"/>
      <c r="B251" s="99"/>
      <c r="C251" s="99"/>
      <c r="D251" s="99"/>
      <c r="E251" s="99"/>
      <c r="F251" s="98"/>
      <c r="G251" s="98"/>
      <c r="H251" s="98"/>
      <c r="I251" s="98"/>
      <c r="J251" s="98"/>
      <c r="K251" s="98"/>
      <c r="L251" s="9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</row>
    <row r="252" spans="1:25" x14ac:dyDescent="0.3">
      <c r="A252" s="98"/>
      <c r="B252" s="99"/>
      <c r="C252" s="99"/>
      <c r="D252" s="99"/>
      <c r="E252" s="99"/>
      <c r="F252" s="98"/>
      <c r="G252" s="98"/>
      <c r="H252" s="98"/>
      <c r="I252" s="98"/>
      <c r="J252" s="98"/>
      <c r="K252" s="98"/>
      <c r="L252" s="9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</row>
    <row r="253" spans="1:25" x14ac:dyDescent="0.3">
      <c r="A253" s="98"/>
      <c r="B253" s="99"/>
      <c r="C253" s="99"/>
      <c r="D253" s="99"/>
      <c r="E253" s="99"/>
      <c r="F253" s="98"/>
      <c r="G253" s="98"/>
      <c r="H253" s="98"/>
      <c r="I253" s="98"/>
      <c r="J253" s="98"/>
      <c r="K253" s="98"/>
      <c r="L253" s="9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</row>
    <row r="254" spans="1:25" x14ac:dyDescent="0.3">
      <c r="A254" s="98"/>
      <c r="B254" s="99"/>
      <c r="C254" s="99"/>
      <c r="D254" s="99"/>
      <c r="E254" s="99"/>
      <c r="F254" s="98"/>
      <c r="G254" s="98"/>
      <c r="H254" s="98"/>
      <c r="I254" s="98"/>
      <c r="J254" s="98"/>
      <c r="K254" s="98"/>
      <c r="L254" s="9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</row>
    <row r="255" spans="1:25" x14ac:dyDescent="0.3">
      <c r="A255" s="98"/>
      <c r="B255" s="99"/>
      <c r="C255" s="99"/>
      <c r="D255" s="99"/>
      <c r="E255" s="99"/>
      <c r="F255" s="98"/>
      <c r="G255" s="98"/>
      <c r="H255" s="98"/>
      <c r="I255" s="98"/>
      <c r="J255" s="98"/>
      <c r="K255" s="98"/>
      <c r="L255" s="9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</row>
    <row r="256" spans="1:25" x14ac:dyDescent="0.3">
      <c r="A256" s="98"/>
      <c r="B256" s="99"/>
      <c r="C256" s="99"/>
      <c r="D256" s="99"/>
      <c r="E256" s="99"/>
      <c r="F256" s="98"/>
      <c r="G256" s="98"/>
      <c r="H256" s="98"/>
      <c r="I256" s="98"/>
      <c r="J256" s="98"/>
      <c r="K256" s="98"/>
      <c r="L256" s="9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</row>
    <row r="257" spans="1:25" x14ac:dyDescent="0.3">
      <c r="A257" s="98"/>
      <c r="B257" s="99"/>
      <c r="C257" s="99"/>
      <c r="D257" s="99"/>
      <c r="E257" s="99"/>
      <c r="F257" s="98"/>
      <c r="G257" s="98"/>
      <c r="H257" s="98"/>
      <c r="I257" s="98"/>
      <c r="J257" s="98"/>
      <c r="K257" s="98"/>
      <c r="L257" s="9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</row>
    <row r="258" spans="1:25" x14ac:dyDescent="0.3">
      <c r="A258" s="98"/>
      <c r="B258" s="99"/>
      <c r="C258" s="99"/>
      <c r="D258" s="99"/>
      <c r="E258" s="99"/>
      <c r="F258" s="98"/>
      <c r="G258" s="98"/>
      <c r="H258" s="98"/>
      <c r="I258" s="98"/>
      <c r="J258" s="98"/>
      <c r="K258" s="98"/>
      <c r="L258" s="9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</row>
    <row r="259" spans="1:25" x14ac:dyDescent="0.3">
      <c r="A259" s="98"/>
      <c r="B259" s="99"/>
      <c r="C259" s="99"/>
      <c r="D259" s="99"/>
      <c r="E259" s="99"/>
      <c r="F259" s="98"/>
      <c r="G259" s="98"/>
      <c r="H259" s="98"/>
      <c r="I259" s="98"/>
      <c r="J259" s="98"/>
      <c r="K259" s="98"/>
      <c r="L259" s="9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</row>
    <row r="260" spans="1:25" x14ac:dyDescent="0.3">
      <c r="A260" s="98"/>
      <c r="B260" s="99"/>
      <c r="C260" s="99"/>
      <c r="D260" s="99"/>
      <c r="E260" s="99"/>
      <c r="F260" s="98"/>
      <c r="G260" s="98"/>
      <c r="H260" s="98"/>
      <c r="I260" s="98"/>
      <c r="J260" s="98"/>
      <c r="K260" s="98"/>
      <c r="L260" s="9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</row>
    <row r="261" spans="1:25" x14ac:dyDescent="0.3">
      <c r="A261" s="98"/>
      <c r="B261" s="99"/>
      <c r="C261" s="99"/>
      <c r="D261" s="99"/>
      <c r="E261" s="99"/>
      <c r="F261" s="98"/>
      <c r="G261" s="98"/>
      <c r="H261" s="98"/>
      <c r="I261" s="98"/>
      <c r="J261" s="98"/>
      <c r="K261" s="98"/>
      <c r="L261" s="9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</row>
    <row r="262" spans="1:25" x14ac:dyDescent="0.3">
      <c r="A262" s="98"/>
      <c r="B262" s="99"/>
      <c r="C262" s="99"/>
      <c r="D262" s="99"/>
      <c r="E262" s="99"/>
      <c r="F262" s="98"/>
      <c r="G262" s="98"/>
      <c r="H262" s="98"/>
      <c r="I262" s="98"/>
      <c r="J262" s="98"/>
      <c r="K262" s="98"/>
      <c r="L262" s="9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</row>
    <row r="263" spans="1:25" x14ac:dyDescent="0.3">
      <c r="A263" s="98"/>
      <c r="B263" s="99"/>
      <c r="C263" s="99"/>
      <c r="D263" s="99"/>
      <c r="E263" s="99"/>
      <c r="F263" s="98"/>
      <c r="G263" s="98"/>
      <c r="H263" s="98"/>
      <c r="I263" s="98"/>
      <c r="J263" s="98"/>
      <c r="K263" s="98"/>
      <c r="L263" s="9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</row>
    <row r="264" spans="1:25" x14ac:dyDescent="0.3">
      <c r="A264" s="98"/>
      <c r="B264" s="99"/>
      <c r="C264" s="99"/>
      <c r="D264" s="99"/>
      <c r="E264" s="99"/>
      <c r="F264" s="98"/>
      <c r="G264" s="98"/>
      <c r="H264" s="98"/>
      <c r="I264" s="98"/>
      <c r="J264" s="98"/>
      <c r="K264" s="98"/>
      <c r="L264" s="9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</row>
    <row r="265" spans="1:25" x14ac:dyDescent="0.3">
      <c r="A265" s="98"/>
      <c r="B265" s="99"/>
      <c r="C265" s="99"/>
      <c r="D265" s="99"/>
      <c r="E265" s="99"/>
      <c r="F265" s="98"/>
      <c r="G265" s="98"/>
      <c r="H265" s="98"/>
      <c r="I265" s="98"/>
      <c r="J265" s="98"/>
      <c r="K265" s="98"/>
      <c r="L265" s="9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</row>
    <row r="266" spans="1:25" x14ac:dyDescent="0.3">
      <c r="A266" s="98"/>
      <c r="B266" s="99"/>
      <c r="C266" s="99"/>
      <c r="D266" s="99"/>
      <c r="E266" s="99"/>
      <c r="F266" s="98"/>
      <c r="G266" s="98"/>
      <c r="H266" s="98"/>
      <c r="I266" s="98"/>
      <c r="J266" s="98"/>
      <c r="K266" s="98"/>
      <c r="L266" s="9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</row>
    <row r="267" spans="1:25" x14ac:dyDescent="0.3">
      <c r="A267" s="98"/>
      <c r="B267" s="99"/>
      <c r="C267" s="99"/>
      <c r="D267" s="99"/>
      <c r="E267" s="99"/>
      <c r="F267" s="98"/>
      <c r="G267" s="98"/>
      <c r="H267" s="98"/>
      <c r="I267" s="98"/>
      <c r="J267" s="98"/>
      <c r="K267" s="98"/>
      <c r="L267" s="9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</row>
    <row r="268" spans="1:25" x14ac:dyDescent="0.3">
      <c r="A268" s="98"/>
      <c r="B268" s="99"/>
      <c r="C268" s="99"/>
      <c r="D268" s="99"/>
      <c r="E268" s="99"/>
      <c r="F268" s="98"/>
      <c r="G268" s="98"/>
      <c r="H268" s="98"/>
      <c r="I268" s="98"/>
      <c r="J268" s="98"/>
      <c r="K268" s="98"/>
      <c r="L268" s="9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</row>
    <row r="269" spans="1:25" x14ac:dyDescent="0.3">
      <c r="A269" s="98"/>
      <c r="B269" s="99"/>
      <c r="C269" s="99"/>
      <c r="D269" s="99"/>
      <c r="E269" s="99"/>
      <c r="F269" s="98"/>
      <c r="G269" s="98"/>
      <c r="H269" s="98"/>
      <c r="I269" s="98"/>
      <c r="J269" s="98"/>
      <c r="K269" s="98"/>
      <c r="L269" s="9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</row>
    <row r="270" spans="1:25" x14ac:dyDescent="0.3">
      <c r="A270" s="98"/>
      <c r="B270" s="99"/>
      <c r="C270" s="99"/>
      <c r="D270" s="99"/>
      <c r="E270" s="99"/>
      <c r="F270" s="98"/>
      <c r="G270" s="98"/>
      <c r="H270" s="98"/>
      <c r="I270" s="98"/>
      <c r="J270" s="98"/>
      <c r="K270" s="98"/>
      <c r="L270" s="9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</row>
    <row r="271" spans="1:25" x14ac:dyDescent="0.3">
      <c r="A271" s="98"/>
      <c r="B271" s="99"/>
      <c r="C271" s="99"/>
      <c r="D271" s="99"/>
      <c r="E271" s="99"/>
      <c r="F271" s="98"/>
      <c r="G271" s="98"/>
      <c r="H271" s="98"/>
      <c r="I271" s="98"/>
      <c r="J271" s="98"/>
      <c r="K271" s="98"/>
      <c r="L271" s="9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</row>
    <row r="272" spans="1:25" x14ac:dyDescent="0.3">
      <c r="A272" s="98"/>
      <c r="B272" s="99"/>
      <c r="C272" s="99"/>
      <c r="D272" s="99"/>
      <c r="E272" s="99"/>
      <c r="F272" s="98"/>
      <c r="G272" s="98"/>
      <c r="H272" s="98"/>
      <c r="I272" s="98"/>
      <c r="J272" s="98"/>
      <c r="K272" s="98"/>
      <c r="L272" s="9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</row>
    <row r="273" spans="1:25" x14ac:dyDescent="0.3">
      <c r="A273" s="98"/>
      <c r="B273" s="99"/>
      <c r="C273" s="99"/>
      <c r="D273" s="99"/>
      <c r="E273" s="99"/>
      <c r="F273" s="98"/>
      <c r="G273" s="98"/>
      <c r="H273" s="98"/>
      <c r="I273" s="98"/>
      <c r="J273" s="98"/>
      <c r="K273" s="98"/>
      <c r="L273" s="9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</row>
    <row r="274" spans="1:25" x14ac:dyDescent="0.3">
      <c r="A274" s="98"/>
      <c r="B274" s="99"/>
      <c r="C274" s="99"/>
      <c r="D274" s="99"/>
      <c r="E274" s="99"/>
      <c r="F274" s="98"/>
      <c r="G274" s="98"/>
      <c r="H274" s="98"/>
      <c r="I274" s="98"/>
      <c r="J274" s="98"/>
      <c r="K274" s="98"/>
      <c r="L274" s="9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</row>
    <row r="275" spans="1:25" x14ac:dyDescent="0.3">
      <c r="A275" s="98"/>
      <c r="B275" s="99"/>
      <c r="C275" s="99"/>
      <c r="D275" s="99"/>
      <c r="E275" s="99"/>
      <c r="F275" s="98"/>
      <c r="G275" s="98"/>
      <c r="H275" s="98"/>
      <c r="I275" s="98"/>
      <c r="J275" s="98"/>
      <c r="K275" s="98"/>
      <c r="L275" s="9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</row>
    <row r="276" spans="1:25" x14ac:dyDescent="0.3">
      <c r="A276" s="98"/>
      <c r="B276" s="99"/>
      <c r="C276" s="99"/>
      <c r="D276" s="99"/>
      <c r="E276" s="99"/>
      <c r="F276" s="98"/>
      <c r="G276" s="98"/>
      <c r="H276" s="98"/>
      <c r="I276" s="98"/>
      <c r="J276" s="98"/>
      <c r="K276" s="98"/>
      <c r="L276" s="9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</row>
    <row r="277" spans="1:25" x14ac:dyDescent="0.3">
      <c r="A277" s="98"/>
      <c r="B277" s="99"/>
      <c r="C277" s="99"/>
      <c r="D277" s="99"/>
      <c r="E277" s="99"/>
      <c r="F277" s="98"/>
      <c r="G277" s="98"/>
      <c r="H277" s="98"/>
      <c r="I277" s="98"/>
      <c r="J277" s="98"/>
      <c r="K277" s="98"/>
      <c r="L277" s="9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</row>
    <row r="278" spans="1:25" x14ac:dyDescent="0.3">
      <c r="A278" s="98"/>
      <c r="B278" s="99"/>
      <c r="C278" s="99"/>
      <c r="D278" s="99"/>
      <c r="E278" s="99"/>
      <c r="F278" s="98"/>
      <c r="G278" s="98"/>
      <c r="H278" s="98"/>
      <c r="I278" s="98"/>
      <c r="J278" s="98"/>
      <c r="K278" s="98"/>
      <c r="L278" s="9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</row>
    <row r="279" spans="1:25" x14ac:dyDescent="0.3">
      <c r="A279" s="98"/>
      <c r="B279" s="99"/>
      <c r="C279" s="99"/>
      <c r="D279" s="99"/>
      <c r="E279" s="99"/>
      <c r="F279" s="98"/>
      <c r="G279" s="98"/>
      <c r="H279" s="98"/>
      <c r="I279" s="98"/>
      <c r="J279" s="98"/>
      <c r="K279" s="98"/>
      <c r="L279" s="9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</row>
    <row r="280" spans="1:25" x14ac:dyDescent="0.3">
      <c r="A280" s="98"/>
      <c r="B280" s="99"/>
      <c r="C280" s="99"/>
      <c r="D280" s="99"/>
      <c r="E280" s="99"/>
      <c r="F280" s="98"/>
      <c r="G280" s="98"/>
      <c r="H280" s="98"/>
      <c r="I280" s="98"/>
      <c r="J280" s="98"/>
      <c r="K280" s="98"/>
      <c r="L280" s="9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</row>
    <row r="281" spans="1:25" x14ac:dyDescent="0.3">
      <c r="A281" s="98"/>
      <c r="B281" s="99"/>
      <c r="C281" s="99"/>
      <c r="D281" s="99"/>
      <c r="E281" s="99"/>
      <c r="F281" s="98"/>
      <c r="G281" s="98"/>
      <c r="H281" s="98"/>
      <c r="I281" s="98"/>
      <c r="J281" s="98"/>
      <c r="K281" s="98"/>
      <c r="L281" s="9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</row>
    <row r="282" spans="1:25" x14ac:dyDescent="0.3">
      <c r="A282" s="98"/>
      <c r="B282" s="99"/>
      <c r="C282" s="99"/>
      <c r="D282" s="99"/>
      <c r="E282" s="99"/>
      <c r="F282" s="98"/>
      <c r="G282" s="98"/>
      <c r="H282" s="98"/>
      <c r="I282" s="98"/>
      <c r="J282" s="98"/>
      <c r="K282" s="98"/>
      <c r="L282" s="9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</row>
    <row r="283" spans="1:25" x14ac:dyDescent="0.3">
      <c r="A283" s="98"/>
      <c r="B283" s="99"/>
      <c r="C283" s="99"/>
      <c r="D283" s="99"/>
      <c r="E283" s="99"/>
      <c r="F283" s="98"/>
      <c r="G283" s="98"/>
      <c r="H283" s="98"/>
      <c r="I283" s="98"/>
      <c r="J283" s="98"/>
      <c r="K283" s="98"/>
      <c r="L283" s="9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</row>
    <row r="284" spans="1:25" x14ac:dyDescent="0.3">
      <c r="A284" s="98"/>
      <c r="B284" s="99"/>
      <c r="C284" s="99"/>
      <c r="D284" s="99"/>
      <c r="E284" s="99"/>
      <c r="F284" s="98"/>
      <c r="G284" s="98"/>
      <c r="H284" s="98"/>
      <c r="I284" s="98"/>
      <c r="J284" s="98"/>
      <c r="K284" s="98"/>
      <c r="L284" s="9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</row>
    <row r="285" spans="1:25" x14ac:dyDescent="0.3">
      <c r="A285" s="98"/>
      <c r="B285" s="99"/>
      <c r="C285" s="99"/>
      <c r="D285" s="99"/>
      <c r="E285" s="99"/>
      <c r="F285" s="98"/>
      <c r="G285" s="98"/>
      <c r="H285" s="98"/>
      <c r="I285" s="98"/>
      <c r="J285" s="98"/>
      <c r="K285" s="98"/>
      <c r="L285" s="9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</row>
    <row r="286" spans="1:25" x14ac:dyDescent="0.3">
      <c r="A286" s="98"/>
      <c r="B286" s="99"/>
      <c r="C286" s="99"/>
      <c r="D286" s="99"/>
      <c r="E286" s="99"/>
      <c r="F286" s="98"/>
      <c r="G286" s="98"/>
      <c r="H286" s="98"/>
      <c r="I286" s="98"/>
      <c r="J286" s="98"/>
      <c r="K286" s="98"/>
      <c r="L286" s="9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</row>
    <row r="287" spans="1:25" x14ac:dyDescent="0.3">
      <c r="A287" s="98"/>
      <c r="B287" s="99"/>
      <c r="C287" s="99"/>
      <c r="D287" s="99"/>
      <c r="E287" s="99"/>
      <c r="F287" s="98"/>
      <c r="G287" s="98"/>
      <c r="H287" s="98"/>
      <c r="I287" s="98"/>
      <c r="J287" s="98"/>
      <c r="K287" s="98"/>
      <c r="L287" s="9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</row>
    <row r="288" spans="1:25" x14ac:dyDescent="0.3">
      <c r="A288" s="98"/>
      <c r="B288" s="99"/>
      <c r="C288" s="99"/>
      <c r="D288" s="99"/>
      <c r="E288" s="99"/>
      <c r="F288" s="98"/>
      <c r="G288" s="98"/>
      <c r="H288" s="98"/>
      <c r="I288" s="98"/>
      <c r="J288" s="98"/>
      <c r="K288" s="98"/>
      <c r="L288" s="9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</row>
    <row r="289" spans="1:25" x14ac:dyDescent="0.3">
      <c r="A289" s="98"/>
      <c r="B289" s="99"/>
      <c r="C289" s="99"/>
      <c r="D289" s="99"/>
      <c r="E289" s="99"/>
      <c r="F289" s="98"/>
      <c r="G289" s="98"/>
      <c r="H289" s="98"/>
      <c r="I289" s="98"/>
      <c r="J289" s="98"/>
      <c r="K289" s="98"/>
      <c r="L289" s="9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</row>
    <row r="290" spans="1:25" x14ac:dyDescent="0.3">
      <c r="A290" s="98"/>
      <c r="B290" s="99"/>
      <c r="C290" s="99"/>
      <c r="D290" s="99"/>
      <c r="E290" s="99"/>
      <c r="F290" s="98"/>
      <c r="G290" s="98"/>
      <c r="H290" s="98"/>
      <c r="I290" s="98"/>
      <c r="J290" s="98"/>
      <c r="K290" s="98"/>
      <c r="L290" s="9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</row>
    <row r="291" spans="1:25" x14ac:dyDescent="0.3">
      <c r="A291" s="98"/>
      <c r="B291" s="99"/>
      <c r="C291" s="99"/>
      <c r="D291" s="99"/>
      <c r="E291" s="99"/>
      <c r="F291" s="98"/>
      <c r="G291" s="98"/>
      <c r="H291" s="98"/>
      <c r="I291" s="98"/>
      <c r="J291" s="98"/>
      <c r="K291" s="98"/>
      <c r="L291" s="9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</row>
    <row r="292" spans="1:25" x14ac:dyDescent="0.3">
      <c r="A292" s="98"/>
      <c r="B292" s="99"/>
      <c r="C292" s="99"/>
      <c r="D292" s="99"/>
      <c r="E292" s="99"/>
      <c r="F292" s="98"/>
      <c r="G292" s="98"/>
      <c r="H292" s="98"/>
      <c r="I292" s="98"/>
      <c r="J292" s="98"/>
      <c r="K292" s="98"/>
      <c r="L292" s="9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</row>
    <row r="293" spans="1:25" x14ac:dyDescent="0.3">
      <c r="A293" s="98"/>
      <c r="B293" s="99"/>
      <c r="C293" s="99"/>
      <c r="D293" s="99"/>
      <c r="E293" s="99"/>
      <c r="F293" s="98"/>
      <c r="G293" s="98"/>
      <c r="H293" s="98"/>
      <c r="I293" s="98"/>
      <c r="J293" s="98"/>
      <c r="K293" s="98"/>
      <c r="L293" s="9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</row>
    <row r="294" spans="1:25" x14ac:dyDescent="0.3">
      <c r="A294" s="98"/>
      <c r="B294" s="99"/>
      <c r="C294" s="99"/>
      <c r="D294" s="99"/>
      <c r="E294" s="99"/>
      <c r="F294" s="98"/>
      <c r="G294" s="98"/>
      <c r="H294" s="98"/>
      <c r="I294" s="98"/>
      <c r="J294" s="98"/>
      <c r="K294" s="98"/>
      <c r="L294" s="9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</row>
    <row r="295" spans="1:25" x14ac:dyDescent="0.3">
      <c r="A295" s="98"/>
      <c r="B295" s="99"/>
      <c r="C295" s="99"/>
      <c r="D295" s="99"/>
      <c r="E295" s="99"/>
      <c r="F295" s="98"/>
      <c r="G295" s="98"/>
      <c r="H295" s="98"/>
      <c r="I295" s="98"/>
      <c r="J295" s="98"/>
      <c r="K295" s="98"/>
      <c r="L295" s="9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</row>
    <row r="296" spans="1:25" x14ac:dyDescent="0.3">
      <c r="A296" s="98"/>
      <c r="B296" s="99"/>
      <c r="C296" s="99"/>
      <c r="D296" s="99"/>
      <c r="E296" s="99"/>
      <c r="F296" s="98"/>
      <c r="G296" s="98"/>
      <c r="H296" s="98"/>
      <c r="I296" s="98"/>
      <c r="J296" s="98"/>
      <c r="K296" s="98"/>
      <c r="L296" s="9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</row>
    <row r="297" spans="1:25" x14ac:dyDescent="0.3">
      <c r="A297" s="98"/>
      <c r="B297" s="99"/>
      <c r="C297" s="99"/>
      <c r="D297" s="99"/>
      <c r="E297" s="99"/>
      <c r="F297" s="98"/>
      <c r="G297" s="98"/>
      <c r="H297" s="98"/>
      <c r="I297" s="98"/>
      <c r="J297" s="98"/>
      <c r="K297" s="98"/>
      <c r="L297" s="9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</row>
    <row r="298" spans="1:25" x14ac:dyDescent="0.3">
      <c r="A298" s="98"/>
      <c r="B298" s="99"/>
      <c r="C298" s="99"/>
      <c r="D298" s="99"/>
      <c r="E298" s="99"/>
      <c r="F298" s="98"/>
      <c r="G298" s="98"/>
      <c r="H298" s="98"/>
      <c r="I298" s="98"/>
      <c r="J298" s="98"/>
      <c r="K298" s="98"/>
      <c r="L298" s="9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</row>
    <row r="299" spans="1:25" x14ac:dyDescent="0.3">
      <c r="A299" s="98"/>
      <c r="B299" s="99"/>
      <c r="C299" s="99"/>
      <c r="D299" s="99"/>
      <c r="E299" s="99"/>
      <c r="F299" s="98"/>
      <c r="G299" s="98"/>
      <c r="H299" s="98"/>
      <c r="I299" s="98"/>
      <c r="J299" s="98"/>
      <c r="K299" s="98"/>
      <c r="L299" s="9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</row>
    <row r="300" spans="1:25" x14ac:dyDescent="0.3">
      <c r="A300" s="98"/>
      <c r="B300" s="99"/>
      <c r="C300" s="99"/>
      <c r="D300" s="99"/>
      <c r="E300" s="99"/>
      <c r="F300" s="98"/>
      <c r="G300" s="98"/>
      <c r="H300" s="98"/>
      <c r="I300" s="98"/>
      <c r="J300" s="98"/>
      <c r="K300" s="98"/>
      <c r="L300" s="9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</row>
    <row r="301" spans="1:25" x14ac:dyDescent="0.3">
      <c r="A301" s="98"/>
      <c r="B301" s="99"/>
      <c r="C301" s="99"/>
      <c r="D301" s="99"/>
      <c r="E301" s="99"/>
      <c r="F301" s="98"/>
      <c r="G301" s="98"/>
      <c r="H301" s="98"/>
      <c r="I301" s="98"/>
      <c r="J301" s="98"/>
      <c r="K301" s="98"/>
      <c r="L301" s="9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</row>
    <row r="302" spans="1:25" x14ac:dyDescent="0.3">
      <c r="A302" s="98"/>
      <c r="B302" s="99"/>
      <c r="C302" s="99"/>
      <c r="D302" s="99"/>
      <c r="E302" s="99"/>
      <c r="F302" s="98"/>
      <c r="G302" s="98"/>
      <c r="H302" s="98"/>
      <c r="I302" s="98"/>
      <c r="J302" s="98"/>
      <c r="K302" s="98"/>
      <c r="L302" s="9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</row>
    <row r="303" spans="1:25" x14ac:dyDescent="0.3">
      <c r="A303" s="98"/>
      <c r="B303" s="99"/>
      <c r="C303" s="99"/>
      <c r="D303" s="99"/>
      <c r="E303" s="99"/>
      <c r="F303" s="98"/>
      <c r="G303" s="98"/>
      <c r="H303" s="98"/>
      <c r="I303" s="98"/>
      <c r="J303" s="98"/>
      <c r="K303" s="98"/>
      <c r="L303" s="9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</row>
    <row r="304" spans="1:25" x14ac:dyDescent="0.3">
      <c r="A304" s="98"/>
      <c r="B304" s="99"/>
      <c r="C304" s="99"/>
      <c r="D304" s="99"/>
      <c r="E304" s="99"/>
      <c r="F304" s="98"/>
      <c r="G304" s="98"/>
      <c r="H304" s="98"/>
      <c r="I304" s="98"/>
      <c r="J304" s="98"/>
      <c r="K304" s="98"/>
      <c r="L304" s="9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</row>
    <row r="305" spans="1:25" x14ac:dyDescent="0.3">
      <c r="A305" s="98"/>
      <c r="B305" s="99"/>
      <c r="C305" s="99"/>
      <c r="D305" s="99"/>
      <c r="E305" s="99"/>
      <c r="F305" s="98"/>
      <c r="G305" s="98"/>
      <c r="H305" s="98"/>
      <c r="I305" s="98"/>
      <c r="J305" s="98"/>
      <c r="K305" s="98"/>
      <c r="L305" s="9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</row>
    <row r="306" spans="1:25" x14ac:dyDescent="0.3">
      <c r="A306" s="98"/>
      <c r="B306" s="99"/>
      <c r="C306" s="99"/>
      <c r="D306" s="99"/>
      <c r="E306" s="99"/>
      <c r="F306" s="98"/>
      <c r="G306" s="98"/>
      <c r="H306" s="98"/>
      <c r="I306" s="98"/>
      <c r="J306" s="98"/>
      <c r="K306" s="98"/>
      <c r="L306" s="9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</row>
    <row r="307" spans="1:25" x14ac:dyDescent="0.3">
      <c r="A307" s="98"/>
      <c r="B307" s="99"/>
      <c r="C307" s="99"/>
      <c r="D307" s="99"/>
      <c r="E307" s="99"/>
      <c r="F307" s="98"/>
      <c r="G307" s="98"/>
      <c r="H307" s="98"/>
      <c r="I307" s="98"/>
      <c r="J307" s="98"/>
      <c r="K307" s="98"/>
      <c r="L307" s="9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</row>
    <row r="308" spans="1:25" x14ac:dyDescent="0.3">
      <c r="A308" s="98"/>
      <c r="B308" s="99"/>
      <c r="C308" s="99"/>
      <c r="D308" s="99"/>
      <c r="E308" s="99"/>
      <c r="F308" s="98"/>
      <c r="G308" s="98"/>
      <c r="H308" s="98"/>
      <c r="I308" s="98"/>
      <c r="J308" s="98"/>
      <c r="K308" s="98"/>
      <c r="L308" s="9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</row>
    <row r="309" spans="1:25" x14ac:dyDescent="0.3">
      <c r="A309" s="98"/>
      <c r="B309" s="99"/>
      <c r="C309" s="99"/>
      <c r="D309" s="99"/>
      <c r="E309" s="99"/>
      <c r="F309" s="98"/>
      <c r="G309" s="98"/>
      <c r="H309" s="98"/>
      <c r="I309" s="98"/>
      <c r="J309" s="98"/>
      <c r="K309" s="98"/>
      <c r="L309" s="9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</row>
    <row r="310" spans="1:25" x14ac:dyDescent="0.3">
      <c r="A310" s="98"/>
      <c r="B310" s="99"/>
      <c r="C310" s="99"/>
      <c r="D310" s="99"/>
      <c r="E310" s="99"/>
      <c r="F310" s="98"/>
      <c r="G310" s="98"/>
      <c r="H310" s="98"/>
      <c r="I310" s="98"/>
      <c r="J310" s="98"/>
      <c r="K310" s="98"/>
      <c r="L310" s="9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</row>
    <row r="311" spans="1:25" x14ac:dyDescent="0.3">
      <c r="F311" s="98"/>
      <c r="G311" s="98"/>
      <c r="H311" s="98"/>
      <c r="I311" s="98"/>
      <c r="J311" s="98"/>
      <c r="K311" s="98"/>
      <c r="L311" s="9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</row>
    <row r="312" spans="1:25" x14ac:dyDescent="0.3">
      <c r="F312" s="98"/>
      <c r="G312" s="98"/>
      <c r="H312" s="98"/>
      <c r="I312" s="98"/>
      <c r="J312" s="98"/>
      <c r="K312" s="98"/>
      <c r="L312" s="9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</row>
    <row r="313" spans="1:25" x14ac:dyDescent="0.3">
      <c r="F313" s="98"/>
      <c r="G313" s="98"/>
      <c r="H313" s="98"/>
      <c r="I313" s="98"/>
      <c r="J313" s="98"/>
      <c r="K313" s="98"/>
      <c r="L313" s="9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</row>
    <row r="314" spans="1:25" x14ac:dyDescent="0.3">
      <c r="F314" s="98"/>
      <c r="G314" s="98"/>
      <c r="H314" s="98"/>
      <c r="I314" s="98"/>
      <c r="J314" s="98"/>
      <c r="K314" s="98"/>
      <c r="L314" s="9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</row>
    <row r="315" spans="1:25" x14ac:dyDescent="0.3">
      <c r="F315" s="98"/>
      <c r="G315" s="98"/>
      <c r="H315" s="98"/>
      <c r="I315" s="98"/>
      <c r="J315" s="98"/>
      <c r="K315" s="98"/>
      <c r="L315" s="9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</row>
    <row r="316" spans="1:25" x14ac:dyDescent="0.3">
      <c r="F316" s="98"/>
      <c r="G316" s="98"/>
      <c r="H316" s="98"/>
      <c r="I316" s="98"/>
      <c r="J316" s="98"/>
      <c r="K316" s="98"/>
      <c r="L316" s="9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</row>
    <row r="317" spans="1:25" x14ac:dyDescent="0.3">
      <c r="F317" s="98"/>
      <c r="G317" s="98"/>
      <c r="H317" s="98"/>
      <c r="I317" s="98"/>
      <c r="J317" s="98"/>
      <c r="K317" s="98"/>
      <c r="L317" s="9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</row>
    <row r="318" spans="1:25" x14ac:dyDescent="0.3">
      <c r="F318" s="98"/>
      <c r="G318" s="98"/>
      <c r="H318" s="98"/>
      <c r="I318" s="98"/>
      <c r="J318" s="98"/>
      <c r="K318" s="98"/>
      <c r="L318" s="9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</row>
    <row r="319" spans="1:25" x14ac:dyDescent="0.3">
      <c r="F319" s="98"/>
      <c r="G319" s="98"/>
      <c r="H319" s="98"/>
      <c r="I319" s="98"/>
      <c r="J319" s="98"/>
      <c r="K319" s="98"/>
      <c r="L319" s="9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</row>
    <row r="320" spans="1:25" x14ac:dyDescent="0.3">
      <c r="F320" s="98"/>
      <c r="G320" s="98"/>
      <c r="H320" s="98"/>
      <c r="I320" s="98"/>
      <c r="J320" s="98"/>
      <c r="K320" s="98"/>
      <c r="L320" s="9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</row>
    <row r="321" spans="6:25" x14ac:dyDescent="0.3">
      <c r="F321" s="98"/>
      <c r="G321" s="98"/>
      <c r="H321" s="98"/>
      <c r="I321" s="98"/>
      <c r="J321" s="98"/>
      <c r="K321" s="98"/>
      <c r="L321" s="9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</row>
    <row r="322" spans="6:25" x14ac:dyDescent="0.3">
      <c r="F322" s="98"/>
      <c r="G322" s="98"/>
      <c r="H322" s="98"/>
      <c r="I322" s="98"/>
      <c r="J322" s="98"/>
      <c r="K322" s="98"/>
      <c r="L322" s="9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</row>
    <row r="323" spans="6:25" x14ac:dyDescent="0.3">
      <c r="F323" s="98"/>
      <c r="G323" s="98"/>
      <c r="H323" s="98"/>
      <c r="I323" s="98"/>
      <c r="J323" s="98"/>
      <c r="K323" s="98"/>
      <c r="L323" s="9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</row>
    <row r="324" spans="6:25" x14ac:dyDescent="0.3">
      <c r="F324" s="98"/>
      <c r="G324" s="98"/>
      <c r="H324" s="98"/>
      <c r="I324" s="98"/>
      <c r="J324" s="98"/>
      <c r="K324" s="98"/>
      <c r="L324" s="9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</row>
    <row r="325" spans="6:25" x14ac:dyDescent="0.3">
      <c r="F325" s="98"/>
      <c r="G325" s="98"/>
      <c r="H325" s="98"/>
      <c r="I325" s="98"/>
      <c r="J325" s="98"/>
      <c r="K325" s="98"/>
      <c r="L325" s="9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</row>
    <row r="326" spans="6:25" x14ac:dyDescent="0.3">
      <c r="F326" s="98"/>
      <c r="G326" s="98"/>
      <c r="H326" s="98"/>
      <c r="I326" s="98"/>
      <c r="J326" s="98"/>
      <c r="K326" s="98"/>
      <c r="L326" s="9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</row>
    <row r="327" spans="6:25" x14ac:dyDescent="0.3">
      <c r="F327" s="98"/>
      <c r="G327" s="98"/>
      <c r="H327" s="98"/>
      <c r="I327" s="98"/>
      <c r="J327" s="98"/>
      <c r="K327" s="98"/>
      <c r="L327" s="9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</row>
    <row r="328" spans="6:25" x14ac:dyDescent="0.3">
      <c r="F328" s="98"/>
      <c r="G328" s="98"/>
      <c r="H328" s="98"/>
      <c r="I328" s="98"/>
      <c r="J328" s="98"/>
      <c r="K328" s="98"/>
      <c r="L328" s="9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</row>
    <row r="329" spans="6:25" x14ac:dyDescent="0.3">
      <c r="F329" s="98"/>
      <c r="G329" s="98"/>
      <c r="H329" s="98"/>
      <c r="I329" s="98"/>
      <c r="J329" s="98"/>
      <c r="K329" s="98"/>
      <c r="L329" s="9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</row>
    <row r="330" spans="6:25" x14ac:dyDescent="0.3">
      <c r="F330" s="98"/>
      <c r="G330" s="98"/>
      <c r="H330" s="98"/>
      <c r="I330" s="98"/>
      <c r="J330" s="98"/>
      <c r="K330" s="98"/>
      <c r="L330" s="9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</row>
    <row r="331" spans="6:25" x14ac:dyDescent="0.3">
      <c r="F331" s="98"/>
      <c r="G331" s="98"/>
      <c r="H331" s="98"/>
      <c r="I331" s="98"/>
      <c r="J331" s="98"/>
      <c r="K331" s="98"/>
      <c r="L331" s="9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</row>
    <row r="332" spans="6:25" x14ac:dyDescent="0.3">
      <c r="F332" s="98"/>
      <c r="G332" s="98"/>
      <c r="H332" s="98"/>
      <c r="I332" s="98"/>
      <c r="J332" s="98"/>
      <c r="K332" s="98"/>
      <c r="L332" s="9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</row>
    <row r="333" spans="6:25" x14ac:dyDescent="0.3">
      <c r="F333" s="98"/>
      <c r="G333" s="98"/>
      <c r="H333" s="98"/>
      <c r="I333" s="98"/>
      <c r="J333" s="98"/>
      <c r="K333" s="98"/>
      <c r="L333" s="9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</row>
    <row r="334" spans="6:25" x14ac:dyDescent="0.3">
      <c r="F334" s="98"/>
      <c r="G334" s="98"/>
      <c r="H334" s="98"/>
      <c r="I334" s="98"/>
      <c r="J334" s="98"/>
      <c r="K334" s="98"/>
      <c r="L334" s="9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</row>
    <row r="335" spans="6:25" x14ac:dyDescent="0.3">
      <c r="F335" s="98"/>
      <c r="G335" s="98"/>
      <c r="H335" s="98"/>
      <c r="I335" s="98"/>
      <c r="J335" s="98"/>
      <c r="K335" s="98"/>
      <c r="L335" s="9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</row>
    <row r="336" spans="6:25" x14ac:dyDescent="0.3">
      <c r="F336" s="98"/>
      <c r="G336" s="98"/>
      <c r="H336" s="98"/>
      <c r="I336" s="98"/>
      <c r="J336" s="98"/>
      <c r="K336" s="98"/>
      <c r="L336" s="9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</row>
    <row r="337" spans="6:25" x14ac:dyDescent="0.3">
      <c r="F337" s="98"/>
      <c r="G337" s="98"/>
      <c r="H337" s="98"/>
      <c r="I337" s="98"/>
      <c r="J337" s="98"/>
      <c r="K337" s="98"/>
      <c r="L337" s="9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</row>
    <row r="338" spans="6:25" x14ac:dyDescent="0.3">
      <c r="F338" s="98"/>
      <c r="G338" s="98"/>
      <c r="H338" s="98"/>
      <c r="I338" s="98"/>
      <c r="J338" s="98"/>
      <c r="K338" s="98"/>
      <c r="L338" s="9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</row>
    <row r="339" spans="6:25" x14ac:dyDescent="0.3">
      <c r="F339" s="98"/>
      <c r="G339" s="98"/>
      <c r="H339" s="98"/>
      <c r="I339" s="98"/>
      <c r="J339" s="98"/>
      <c r="K339" s="98"/>
      <c r="L339" s="9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</row>
    <row r="340" spans="6:25" x14ac:dyDescent="0.3">
      <c r="F340" s="98"/>
      <c r="G340" s="98"/>
      <c r="H340" s="98"/>
      <c r="I340" s="98"/>
      <c r="J340" s="98"/>
      <c r="K340" s="98"/>
      <c r="L340" s="9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</row>
    <row r="341" spans="6:25" x14ac:dyDescent="0.3">
      <c r="F341" s="98"/>
      <c r="G341" s="98"/>
      <c r="H341" s="98"/>
      <c r="I341" s="98"/>
      <c r="J341" s="98"/>
      <c r="K341" s="98"/>
      <c r="L341" s="9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</row>
    <row r="342" spans="6:25" x14ac:dyDescent="0.3">
      <c r="F342" s="98"/>
      <c r="G342" s="98"/>
      <c r="H342" s="98"/>
      <c r="I342" s="98"/>
      <c r="J342" s="98"/>
      <c r="K342" s="98"/>
      <c r="L342" s="9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</row>
    <row r="343" spans="6:25" x14ac:dyDescent="0.3">
      <c r="F343" s="98"/>
      <c r="G343" s="98"/>
      <c r="H343" s="98"/>
      <c r="I343" s="98"/>
      <c r="J343" s="98"/>
      <c r="K343" s="98"/>
      <c r="L343" s="9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</row>
    <row r="344" spans="6:25" x14ac:dyDescent="0.3">
      <c r="F344" s="98"/>
      <c r="G344" s="98"/>
      <c r="H344" s="98"/>
      <c r="I344" s="98"/>
      <c r="J344" s="98"/>
      <c r="K344" s="98"/>
      <c r="L344" s="9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</row>
    <row r="345" spans="6:25" x14ac:dyDescent="0.3">
      <c r="F345" s="98"/>
      <c r="G345" s="98"/>
      <c r="H345" s="98"/>
      <c r="I345" s="98"/>
      <c r="J345" s="98"/>
      <c r="K345" s="98"/>
      <c r="L345" s="9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</row>
    <row r="346" spans="6:25" x14ac:dyDescent="0.3">
      <c r="F346" s="98"/>
      <c r="G346" s="98"/>
      <c r="H346" s="98"/>
      <c r="I346" s="98"/>
      <c r="J346" s="98"/>
      <c r="K346" s="98"/>
      <c r="L346" s="9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</row>
    <row r="347" spans="6:25" x14ac:dyDescent="0.3">
      <c r="F347" s="98"/>
      <c r="G347" s="98"/>
      <c r="H347" s="98"/>
      <c r="I347" s="98"/>
      <c r="J347" s="98"/>
      <c r="K347" s="98"/>
      <c r="L347" s="9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</row>
    <row r="348" spans="6:25" x14ac:dyDescent="0.3">
      <c r="F348" s="98"/>
      <c r="G348" s="98"/>
      <c r="H348" s="98"/>
      <c r="I348" s="98"/>
      <c r="J348" s="98"/>
      <c r="K348" s="98"/>
      <c r="L348" s="9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</row>
    <row r="349" spans="6:25" x14ac:dyDescent="0.3">
      <c r="F349" s="98"/>
      <c r="G349" s="98"/>
      <c r="H349" s="98"/>
      <c r="I349" s="98"/>
      <c r="J349" s="98"/>
      <c r="K349" s="98"/>
      <c r="L349" s="9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</row>
    <row r="350" spans="6:25" x14ac:dyDescent="0.3">
      <c r="F350" s="98"/>
      <c r="G350" s="98"/>
      <c r="H350" s="98"/>
      <c r="I350" s="98"/>
      <c r="J350" s="98"/>
      <c r="K350" s="98"/>
      <c r="L350" s="9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</row>
    <row r="351" spans="6:25" x14ac:dyDescent="0.3">
      <c r="F351" s="98"/>
      <c r="G351" s="98"/>
      <c r="H351" s="98"/>
      <c r="I351" s="98"/>
      <c r="J351" s="98"/>
      <c r="K351" s="98"/>
      <c r="L351" s="9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</row>
    <row r="352" spans="6:25" x14ac:dyDescent="0.3">
      <c r="F352" s="98"/>
      <c r="G352" s="98"/>
      <c r="H352" s="98"/>
      <c r="I352" s="98"/>
      <c r="J352" s="98"/>
      <c r="K352" s="98"/>
      <c r="L352" s="9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</row>
    <row r="353" spans="6:25" x14ac:dyDescent="0.3">
      <c r="F353" s="98"/>
      <c r="G353" s="98"/>
      <c r="H353" s="98"/>
      <c r="I353" s="98"/>
      <c r="J353" s="98"/>
      <c r="K353" s="98"/>
      <c r="L353" s="9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</row>
    <row r="354" spans="6:25" x14ac:dyDescent="0.3">
      <c r="F354" s="98"/>
      <c r="G354" s="98"/>
      <c r="H354" s="98"/>
      <c r="I354" s="98"/>
      <c r="J354" s="98"/>
      <c r="K354" s="98"/>
      <c r="L354" s="9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</row>
    <row r="355" spans="6:25" x14ac:dyDescent="0.3">
      <c r="F355" s="98"/>
      <c r="G355" s="98"/>
      <c r="H355" s="98"/>
      <c r="I355" s="98"/>
      <c r="J355" s="98"/>
      <c r="K355" s="98"/>
      <c r="L355" s="9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</row>
    <row r="356" spans="6:25" x14ac:dyDescent="0.3">
      <c r="F356" s="98"/>
      <c r="G356" s="98"/>
      <c r="H356" s="98"/>
      <c r="I356" s="98"/>
      <c r="J356" s="98"/>
      <c r="K356" s="98"/>
      <c r="L356" s="9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</row>
    <row r="357" spans="6:25" x14ac:dyDescent="0.3">
      <c r="F357" s="98"/>
      <c r="G357" s="98"/>
      <c r="H357" s="98"/>
      <c r="I357" s="98"/>
      <c r="J357" s="98"/>
      <c r="K357" s="98"/>
      <c r="L357" s="9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</row>
    <row r="358" spans="6:25" x14ac:dyDescent="0.3">
      <c r="F358" s="98"/>
      <c r="G358" s="98"/>
      <c r="H358" s="98"/>
      <c r="I358" s="98"/>
      <c r="J358" s="98"/>
      <c r="K358" s="98"/>
      <c r="L358" s="9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</row>
    <row r="359" spans="6:25" x14ac:dyDescent="0.3">
      <c r="F359" s="98"/>
      <c r="G359" s="98"/>
      <c r="H359" s="98"/>
      <c r="I359" s="98"/>
      <c r="J359" s="98"/>
      <c r="K359" s="98"/>
      <c r="L359" s="9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</row>
    <row r="360" spans="6:25" x14ac:dyDescent="0.3">
      <c r="F360" s="98"/>
      <c r="G360" s="98"/>
      <c r="H360" s="98"/>
      <c r="I360" s="98"/>
      <c r="J360" s="98"/>
      <c r="K360" s="98"/>
      <c r="L360" s="9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</row>
    <row r="361" spans="6:25" x14ac:dyDescent="0.3">
      <c r="F361" s="98"/>
      <c r="G361" s="98"/>
      <c r="H361" s="98"/>
      <c r="I361" s="98"/>
      <c r="J361" s="98"/>
      <c r="K361" s="98"/>
      <c r="L361" s="9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</row>
    <row r="362" spans="6:25" x14ac:dyDescent="0.3">
      <c r="F362" s="98"/>
      <c r="G362" s="98"/>
      <c r="H362" s="98"/>
      <c r="I362" s="98"/>
      <c r="J362" s="98"/>
      <c r="K362" s="98"/>
      <c r="L362" s="9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</row>
    <row r="363" spans="6:25" x14ac:dyDescent="0.3">
      <c r="F363" s="98"/>
      <c r="G363" s="98"/>
      <c r="H363" s="98"/>
      <c r="I363" s="98"/>
      <c r="J363" s="98"/>
      <c r="K363" s="98"/>
      <c r="L363" s="9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</row>
    <row r="364" spans="6:25" x14ac:dyDescent="0.3">
      <c r="F364" s="98"/>
      <c r="G364" s="98"/>
      <c r="H364" s="98"/>
      <c r="I364" s="98"/>
      <c r="J364" s="98"/>
      <c r="K364" s="98"/>
      <c r="L364" s="9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</row>
    <row r="365" spans="6:25" x14ac:dyDescent="0.3">
      <c r="F365" s="98"/>
      <c r="G365" s="98"/>
      <c r="H365" s="98"/>
      <c r="I365" s="98"/>
      <c r="J365" s="98"/>
      <c r="K365" s="98"/>
      <c r="L365" s="9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</row>
    <row r="366" spans="6:25" x14ac:dyDescent="0.3">
      <c r="F366" s="98"/>
      <c r="G366" s="98"/>
      <c r="H366" s="98"/>
      <c r="I366" s="98"/>
      <c r="J366" s="98"/>
      <c r="K366" s="98"/>
      <c r="L366" s="9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</row>
    <row r="367" spans="6:25" x14ac:dyDescent="0.3">
      <c r="F367" s="98"/>
      <c r="G367" s="98"/>
      <c r="H367" s="98"/>
      <c r="I367" s="98"/>
      <c r="J367" s="98"/>
      <c r="K367" s="98"/>
      <c r="L367" s="9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</row>
    <row r="368" spans="6:25" x14ac:dyDescent="0.3">
      <c r="F368" s="98"/>
      <c r="G368" s="98"/>
      <c r="H368" s="98"/>
      <c r="I368" s="98"/>
      <c r="J368" s="98"/>
      <c r="K368" s="98"/>
      <c r="L368" s="9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</row>
    <row r="369" spans="6:25" x14ac:dyDescent="0.3">
      <c r="F369" s="98"/>
      <c r="G369" s="98"/>
      <c r="H369" s="98"/>
      <c r="I369" s="98"/>
      <c r="J369" s="98"/>
      <c r="K369" s="98"/>
      <c r="L369" s="9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</row>
    <row r="370" spans="6:25" x14ac:dyDescent="0.3">
      <c r="F370" s="98"/>
      <c r="G370" s="98"/>
      <c r="H370" s="98"/>
      <c r="I370" s="98"/>
      <c r="J370" s="98"/>
      <c r="K370" s="98"/>
      <c r="L370" s="9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</row>
    <row r="371" spans="6:25" x14ac:dyDescent="0.3">
      <c r="F371" s="98"/>
      <c r="G371" s="98"/>
      <c r="H371" s="98"/>
      <c r="I371" s="98"/>
      <c r="J371" s="98"/>
      <c r="K371" s="98"/>
      <c r="L371" s="9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</row>
    <row r="372" spans="6:25" x14ac:dyDescent="0.3">
      <c r="F372" s="98"/>
      <c r="G372" s="98"/>
      <c r="H372" s="98"/>
      <c r="I372" s="98"/>
      <c r="J372" s="98"/>
      <c r="K372" s="98"/>
      <c r="L372" s="9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</row>
    <row r="373" spans="6:25" x14ac:dyDescent="0.3">
      <c r="F373" s="98"/>
      <c r="G373" s="98"/>
      <c r="H373" s="98"/>
      <c r="I373" s="98"/>
      <c r="J373" s="98"/>
      <c r="K373" s="98"/>
      <c r="L373" s="9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</row>
    <row r="374" spans="6:25" x14ac:dyDescent="0.3">
      <c r="F374" s="98"/>
      <c r="G374" s="98"/>
      <c r="H374" s="98"/>
      <c r="I374" s="98"/>
      <c r="J374" s="98"/>
      <c r="K374" s="98"/>
      <c r="L374" s="9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</row>
    <row r="375" spans="6:25" x14ac:dyDescent="0.3">
      <c r="F375" s="98"/>
      <c r="G375" s="98"/>
      <c r="H375" s="98"/>
      <c r="I375" s="98"/>
      <c r="J375" s="98"/>
      <c r="K375" s="98"/>
      <c r="L375" s="9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</row>
    <row r="376" spans="6:25" x14ac:dyDescent="0.3">
      <c r="F376" s="98"/>
      <c r="G376" s="98"/>
      <c r="H376" s="98"/>
      <c r="I376" s="98"/>
      <c r="J376" s="98"/>
      <c r="K376" s="98"/>
      <c r="L376" s="9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</row>
    <row r="377" spans="6:25" x14ac:dyDescent="0.3">
      <c r="F377" s="98"/>
      <c r="G377" s="98"/>
      <c r="H377" s="98"/>
      <c r="I377" s="98"/>
      <c r="J377" s="98"/>
      <c r="K377" s="98"/>
      <c r="L377" s="9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</row>
    <row r="378" spans="6:25" x14ac:dyDescent="0.3">
      <c r="F378" s="98"/>
      <c r="G378" s="98"/>
      <c r="H378" s="98"/>
      <c r="I378" s="98"/>
      <c r="J378" s="98"/>
      <c r="K378" s="98"/>
      <c r="L378" s="9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</row>
    <row r="379" spans="6:25" x14ac:dyDescent="0.3">
      <c r="F379" s="98"/>
      <c r="G379" s="98"/>
      <c r="H379" s="98"/>
      <c r="I379" s="98"/>
      <c r="J379" s="98"/>
      <c r="K379" s="98"/>
      <c r="L379" s="9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</row>
    <row r="380" spans="6:25" x14ac:dyDescent="0.3">
      <c r="F380" s="98"/>
      <c r="G380" s="98"/>
      <c r="H380" s="98"/>
      <c r="I380" s="98"/>
      <c r="J380" s="98"/>
      <c r="K380" s="98"/>
      <c r="L380" s="9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</row>
    <row r="381" spans="6:25" x14ac:dyDescent="0.3">
      <c r="F381" s="98"/>
      <c r="G381" s="98"/>
      <c r="H381" s="98"/>
      <c r="I381" s="98"/>
      <c r="J381" s="98"/>
      <c r="K381" s="98"/>
      <c r="L381" s="9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</row>
    <row r="382" spans="6:25" x14ac:dyDescent="0.3">
      <c r="F382" s="98"/>
      <c r="G382" s="98"/>
      <c r="H382" s="98"/>
      <c r="I382" s="98"/>
      <c r="J382" s="98"/>
      <c r="K382" s="98"/>
      <c r="L382" s="9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</row>
    <row r="383" spans="6:25" x14ac:dyDescent="0.3">
      <c r="F383" s="98"/>
      <c r="G383" s="98"/>
      <c r="H383" s="98"/>
      <c r="I383" s="98"/>
      <c r="J383" s="98"/>
      <c r="K383" s="98"/>
      <c r="L383" s="9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</row>
    <row r="384" spans="6:25" x14ac:dyDescent="0.3">
      <c r="F384" s="98"/>
      <c r="G384" s="98"/>
      <c r="H384" s="98"/>
      <c r="I384" s="98"/>
      <c r="J384" s="98"/>
      <c r="K384" s="98"/>
      <c r="L384" s="9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</row>
    <row r="385" spans="6:25" x14ac:dyDescent="0.3">
      <c r="F385" s="98"/>
      <c r="G385" s="98"/>
      <c r="H385" s="98"/>
      <c r="I385" s="98"/>
      <c r="J385" s="98"/>
      <c r="K385" s="98"/>
      <c r="L385" s="9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</row>
    <row r="386" spans="6:25" x14ac:dyDescent="0.3">
      <c r="F386" s="98"/>
      <c r="G386" s="98"/>
      <c r="H386" s="98"/>
      <c r="I386" s="98"/>
      <c r="J386" s="98"/>
      <c r="K386" s="98"/>
      <c r="L386" s="9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</row>
    <row r="387" spans="6:25" x14ac:dyDescent="0.3">
      <c r="F387" s="98"/>
      <c r="G387" s="98"/>
      <c r="H387" s="98"/>
      <c r="I387" s="98"/>
      <c r="J387" s="98"/>
      <c r="K387" s="98"/>
      <c r="L387" s="9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</row>
    <row r="388" spans="6:25" x14ac:dyDescent="0.3">
      <c r="F388" s="98"/>
      <c r="G388" s="98"/>
      <c r="H388" s="98"/>
      <c r="I388" s="98"/>
      <c r="J388" s="98"/>
      <c r="K388" s="98"/>
      <c r="L388" s="9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</row>
    <row r="389" spans="6:25" x14ac:dyDescent="0.3">
      <c r="F389" s="98"/>
      <c r="G389" s="98"/>
      <c r="H389" s="98"/>
      <c r="I389" s="98"/>
      <c r="J389" s="98"/>
      <c r="K389" s="98"/>
      <c r="L389" s="9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</row>
    <row r="390" spans="6:25" x14ac:dyDescent="0.3">
      <c r="F390" s="98"/>
      <c r="G390" s="98"/>
      <c r="H390" s="98"/>
      <c r="I390" s="98"/>
      <c r="J390" s="98"/>
      <c r="K390" s="98"/>
      <c r="L390" s="9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</row>
    <row r="391" spans="6:25" x14ac:dyDescent="0.3">
      <c r="F391" s="98"/>
      <c r="G391" s="98"/>
      <c r="H391" s="98"/>
      <c r="I391" s="98"/>
      <c r="J391" s="98"/>
      <c r="K391" s="98"/>
      <c r="L391" s="9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</row>
    <row r="392" spans="6:25" x14ac:dyDescent="0.3">
      <c r="F392" s="98"/>
      <c r="G392" s="98"/>
      <c r="H392" s="98"/>
      <c r="I392" s="98"/>
      <c r="J392" s="98"/>
      <c r="K392" s="98"/>
      <c r="L392" s="9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</row>
    <row r="393" spans="6:25" x14ac:dyDescent="0.3">
      <c r="F393" s="98"/>
      <c r="G393" s="98"/>
      <c r="H393" s="98"/>
      <c r="I393" s="98"/>
      <c r="J393" s="98"/>
      <c r="K393" s="98"/>
      <c r="L393" s="9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</row>
    <row r="394" spans="6:25" x14ac:dyDescent="0.3">
      <c r="F394" s="98"/>
      <c r="G394" s="98"/>
      <c r="H394" s="98"/>
      <c r="I394" s="98"/>
      <c r="J394" s="98"/>
      <c r="K394" s="98"/>
      <c r="L394" s="9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</row>
    <row r="395" spans="6:25" x14ac:dyDescent="0.3">
      <c r="F395" s="98"/>
      <c r="G395" s="98"/>
      <c r="H395" s="98"/>
      <c r="I395" s="98"/>
      <c r="J395" s="98"/>
      <c r="K395" s="98"/>
      <c r="L395" s="9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</row>
    <row r="396" spans="6:25" x14ac:dyDescent="0.3">
      <c r="F396" s="98"/>
      <c r="G396" s="98"/>
      <c r="H396" s="98"/>
      <c r="I396" s="98"/>
      <c r="J396" s="98"/>
      <c r="K396" s="98"/>
      <c r="L396" s="9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</row>
    <row r="397" spans="6:25" x14ac:dyDescent="0.3">
      <c r="F397" s="98"/>
      <c r="G397" s="98"/>
      <c r="H397" s="98"/>
      <c r="I397" s="98"/>
      <c r="J397" s="98"/>
      <c r="K397" s="98"/>
      <c r="L397" s="9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</row>
    <row r="398" spans="6:25" x14ac:dyDescent="0.3">
      <c r="F398" s="98"/>
      <c r="G398" s="98"/>
      <c r="H398" s="98"/>
      <c r="I398" s="98"/>
      <c r="J398" s="98"/>
      <c r="K398" s="98"/>
      <c r="L398" s="9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</row>
    <row r="399" spans="6:25" x14ac:dyDescent="0.3">
      <c r="F399" s="98"/>
      <c r="G399" s="98"/>
      <c r="H399" s="98"/>
      <c r="I399" s="98"/>
      <c r="J399" s="98"/>
      <c r="K399" s="98"/>
      <c r="L399" s="9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</row>
    <row r="400" spans="6:25" x14ac:dyDescent="0.3">
      <c r="F400" s="98"/>
      <c r="G400" s="98"/>
      <c r="H400" s="98"/>
      <c r="I400" s="98"/>
      <c r="J400" s="98"/>
      <c r="K400" s="98"/>
      <c r="L400" s="9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</row>
    <row r="401" spans="6:25" x14ac:dyDescent="0.3">
      <c r="F401" s="98"/>
      <c r="G401" s="98"/>
      <c r="H401" s="98"/>
      <c r="I401" s="98"/>
      <c r="J401" s="98"/>
      <c r="K401" s="98"/>
      <c r="L401" s="9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</row>
    <row r="402" spans="6:25" x14ac:dyDescent="0.3">
      <c r="F402" s="98"/>
      <c r="G402" s="98"/>
      <c r="H402" s="98"/>
      <c r="I402" s="98"/>
      <c r="J402" s="98"/>
      <c r="K402" s="98"/>
      <c r="L402" s="9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</row>
    <row r="403" spans="6:25" x14ac:dyDescent="0.3">
      <c r="F403" s="98"/>
      <c r="G403" s="98"/>
      <c r="H403" s="98"/>
      <c r="I403" s="98"/>
      <c r="J403" s="98"/>
      <c r="K403" s="98"/>
      <c r="L403" s="9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</row>
    <row r="404" spans="6:25" x14ac:dyDescent="0.3">
      <c r="F404" s="98"/>
      <c r="G404" s="98"/>
      <c r="H404" s="98"/>
      <c r="I404" s="98"/>
      <c r="J404" s="98"/>
      <c r="K404" s="98"/>
      <c r="L404" s="9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</row>
    <row r="405" spans="6:25" x14ac:dyDescent="0.3">
      <c r="F405" s="98"/>
      <c r="G405" s="98"/>
      <c r="H405" s="98"/>
      <c r="I405" s="98"/>
      <c r="J405" s="98"/>
      <c r="K405" s="98"/>
      <c r="L405" s="9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</row>
    <row r="406" spans="6:25" x14ac:dyDescent="0.3">
      <c r="F406" s="98"/>
      <c r="G406" s="98"/>
      <c r="H406" s="98"/>
      <c r="I406" s="98"/>
      <c r="J406" s="98"/>
      <c r="K406" s="98"/>
      <c r="L406" s="9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</row>
    <row r="407" spans="6:25" x14ac:dyDescent="0.3">
      <c r="F407" s="98"/>
      <c r="G407" s="98"/>
      <c r="H407" s="98"/>
      <c r="I407" s="98"/>
      <c r="J407" s="98"/>
      <c r="K407" s="98"/>
      <c r="L407" s="9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</row>
    <row r="408" spans="6:25" x14ac:dyDescent="0.3">
      <c r="F408" s="98"/>
      <c r="G408" s="98"/>
      <c r="H408" s="98"/>
      <c r="I408" s="98"/>
      <c r="J408" s="98"/>
      <c r="K408" s="98"/>
      <c r="L408" s="9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</row>
    <row r="409" spans="6:25" x14ac:dyDescent="0.3">
      <c r="F409" s="98"/>
      <c r="G409" s="98"/>
      <c r="H409" s="98"/>
      <c r="I409" s="98"/>
      <c r="J409" s="98"/>
      <c r="K409" s="98"/>
      <c r="L409" s="9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</row>
    <row r="410" spans="6:25" x14ac:dyDescent="0.3">
      <c r="F410" s="98"/>
      <c r="G410" s="98"/>
      <c r="H410" s="161"/>
      <c r="I410" s="161"/>
      <c r="J410" s="161"/>
      <c r="K410" s="161"/>
      <c r="L410" s="161"/>
      <c r="M410" s="162"/>
      <c r="N410" s="162"/>
      <c r="O410" s="162"/>
      <c r="P410" s="162"/>
      <c r="Q410" s="162"/>
      <c r="R410" s="162"/>
      <c r="S410" s="162"/>
      <c r="T410" s="158"/>
      <c r="U410" s="162"/>
      <c r="V410" s="162"/>
      <c r="W410" s="162"/>
      <c r="X410" s="162"/>
      <c r="Y410" s="162"/>
    </row>
    <row r="411" spans="6:25" x14ac:dyDescent="0.3">
      <c r="F411" s="98"/>
      <c r="G411" s="98"/>
      <c r="T411" s="158"/>
    </row>
    <row r="412" spans="6:25" x14ac:dyDescent="0.3">
      <c r="F412" s="98"/>
      <c r="G412" s="98"/>
      <c r="T412" s="158"/>
    </row>
    <row r="413" spans="6:25" x14ac:dyDescent="0.3">
      <c r="F413" s="98"/>
      <c r="G413" s="98"/>
      <c r="T413" s="158"/>
    </row>
    <row r="414" spans="6:25" x14ac:dyDescent="0.3">
      <c r="F414" s="98"/>
      <c r="G414" s="98"/>
      <c r="T414" s="158"/>
    </row>
    <row r="415" spans="6:25" x14ac:dyDescent="0.3">
      <c r="F415" s="98"/>
      <c r="G415" s="98"/>
      <c r="T415" s="158"/>
    </row>
    <row r="416" spans="6:25" x14ac:dyDescent="0.3">
      <c r="F416" s="98"/>
      <c r="G416" s="98"/>
      <c r="T416" s="158"/>
    </row>
    <row r="417" spans="6:20" x14ac:dyDescent="0.3">
      <c r="F417" s="98"/>
      <c r="G417" s="98"/>
      <c r="T417" s="158"/>
    </row>
    <row r="418" spans="6:20" x14ac:dyDescent="0.3">
      <c r="F418" s="98"/>
      <c r="G418" s="98"/>
      <c r="T418" s="158"/>
    </row>
    <row r="419" spans="6:20" x14ac:dyDescent="0.3">
      <c r="F419" s="98"/>
      <c r="G419" s="98"/>
      <c r="T419" s="158"/>
    </row>
    <row r="420" spans="6:20" x14ac:dyDescent="0.3">
      <c r="F420" s="98"/>
      <c r="G420" s="98"/>
      <c r="T420" s="162"/>
    </row>
  </sheetData>
  <mergeCells count="14"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A60:B60"/>
    <mergeCell ref="A86:D86"/>
    <mergeCell ref="N21:O21"/>
    <mergeCell ref="P21:Q21"/>
    <mergeCell ref="R21:S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5DC0-7316-4BAF-B4B3-78AB2B72A1A1}">
  <sheetPr>
    <tabColor theme="9"/>
  </sheetPr>
  <dimension ref="A2:H102"/>
  <sheetViews>
    <sheetView topLeftCell="A88" workbookViewId="0">
      <selection activeCell="E95" sqref="E95"/>
    </sheetView>
  </sheetViews>
  <sheetFormatPr defaultRowHeight="14.4" x14ac:dyDescent="0.3"/>
  <cols>
    <col min="1" max="1" width="12.5546875" customWidth="1"/>
    <col min="2" max="2" width="15.77734375" customWidth="1"/>
    <col min="3" max="3" width="14" customWidth="1"/>
    <col min="4" max="4" width="14.21875" customWidth="1"/>
    <col min="5" max="5" width="109.109375" customWidth="1"/>
    <col min="6" max="6" width="11.77734375" customWidth="1"/>
  </cols>
  <sheetData>
    <row r="2" spans="1:8" x14ac:dyDescent="0.3">
      <c r="A2" t="s">
        <v>416</v>
      </c>
    </row>
    <row r="4" spans="1:8" ht="15" thickBot="1" x14ac:dyDescent="0.35">
      <c r="A4" t="s">
        <v>417</v>
      </c>
    </row>
    <row r="5" spans="1:8" x14ac:dyDescent="0.3">
      <c r="A5" t="s">
        <v>382</v>
      </c>
      <c r="E5" s="194"/>
    </row>
    <row r="6" spans="1:8" x14ac:dyDescent="0.3">
      <c r="A6" t="s">
        <v>383</v>
      </c>
    </row>
    <row r="7" spans="1:8" x14ac:dyDescent="0.3">
      <c r="A7" t="s">
        <v>384</v>
      </c>
    </row>
    <row r="9" spans="1:8" x14ac:dyDescent="0.3">
      <c r="A9" s="187" t="s">
        <v>418</v>
      </c>
      <c r="B9" s="187" t="s">
        <v>23</v>
      </c>
      <c r="C9" s="187" t="s">
        <v>419</v>
      </c>
      <c r="D9" s="187" t="s">
        <v>420</v>
      </c>
      <c r="E9" s="187" t="s">
        <v>24</v>
      </c>
      <c r="F9" s="187" t="s">
        <v>25</v>
      </c>
      <c r="G9" s="187" t="s">
        <v>26</v>
      </c>
      <c r="H9" s="187" t="s">
        <v>27</v>
      </c>
    </row>
    <row r="10" spans="1:8" x14ac:dyDescent="0.3">
      <c r="E10" s="187" t="s">
        <v>28</v>
      </c>
      <c r="F10" s="188"/>
      <c r="G10" s="188"/>
      <c r="H10" s="188">
        <v>-337</v>
      </c>
    </row>
    <row r="11" spans="1:8" x14ac:dyDescent="0.3">
      <c r="A11">
        <v>1452335</v>
      </c>
      <c r="B11" s="189">
        <v>45993</v>
      </c>
      <c r="C11" s="189" t="s">
        <v>421</v>
      </c>
      <c r="D11" s="189" t="s">
        <v>422</v>
      </c>
      <c r="E11" t="s">
        <v>386</v>
      </c>
      <c r="F11" s="188"/>
      <c r="G11" s="188">
        <v>50</v>
      </c>
      <c r="H11" s="188">
        <v>-288.63</v>
      </c>
    </row>
    <row r="12" spans="1:8" x14ac:dyDescent="0.3">
      <c r="A12">
        <v>1452338</v>
      </c>
      <c r="B12" s="189">
        <v>45993</v>
      </c>
      <c r="C12" s="189" t="s">
        <v>423</v>
      </c>
      <c r="D12" s="189" t="s">
        <v>424</v>
      </c>
      <c r="E12" t="s">
        <v>387</v>
      </c>
      <c r="F12" s="188">
        <v>7.51</v>
      </c>
      <c r="G12" s="188"/>
      <c r="H12" s="188">
        <v>-296.14</v>
      </c>
    </row>
    <row r="13" spans="1:8" x14ac:dyDescent="0.3">
      <c r="A13">
        <v>1453235</v>
      </c>
      <c r="B13" s="189">
        <v>45995</v>
      </c>
      <c r="C13" s="189" t="s">
        <v>421</v>
      </c>
      <c r="D13" s="189" t="s">
        <v>425</v>
      </c>
      <c r="E13" t="s">
        <v>388</v>
      </c>
      <c r="F13" s="188"/>
      <c r="G13" s="188">
        <v>50</v>
      </c>
      <c r="H13" s="188">
        <v>-246.14</v>
      </c>
    </row>
    <row r="14" spans="1:8" x14ac:dyDescent="0.3">
      <c r="A14">
        <v>1453238</v>
      </c>
      <c r="B14" s="189">
        <v>45995</v>
      </c>
      <c r="C14" s="189" t="s">
        <v>423</v>
      </c>
      <c r="D14" s="189" t="s">
        <v>426</v>
      </c>
      <c r="E14" t="s">
        <v>389</v>
      </c>
      <c r="F14" s="188">
        <v>7.51</v>
      </c>
      <c r="G14" s="188"/>
      <c r="H14" s="188">
        <v>-253.65</v>
      </c>
    </row>
    <row r="15" spans="1:8" x14ac:dyDescent="0.3">
      <c r="A15">
        <v>1453242</v>
      </c>
      <c r="B15" s="189">
        <v>45995</v>
      </c>
      <c r="C15" s="189" t="s">
        <v>421</v>
      </c>
      <c r="D15" s="189" t="s">
        <v>427</v>
      </c>
      <c r="E15" t="s">
        <v>390</v>
      </c>
      <c r="F15" s="188"/>
      <c r="G15" s="188">
        <v>50</v>
      </c>
      <c r="H15" s="188">
        <v>-203.65</v>
      </c>
    </row>
    <row r="16" spans="1:8" x14ac:dyDescent="0.3">
      <c r="A16">
        <v>1453245</v>
      </c>
      <c r="B16" s="189">
        <v>45995</v>
      </c>
      <c r="C16" s="189" t="s">
        <v>423</v>
      </c>
      <c r="D16" s="189" t="s">
        <v>428</v>
      </c>
      <c r="E16" t="s">
        <v>391</v>
      </c>
      <c r="F16" s="188">
        <v>7.51</v>
      </c>
      <c r="G16" s="188"/>
      <c r="H16" s="188">
        <v>-211.16</v>
      </c>
    </row>
    <row r="17" spans="1:8" x14ac:dyDescent="0.3">
      <c r="A17">
        <v>1453580</v>
      </c>
      <c r="B17" s="189">
        <v>45995</v>
      </c>
      <c r="C17" s="189" t="s">
        <v>421</v>
      </c>
      <c r="D17" s="189" t="s">
        <v>429</v>
      </c>
      <c r="E17" t="s">
        <v>392</v>
      </c>
      <c r="F17" s="188"/>
      <c r="G17" s="188">
        <v>50</v>
      </c>
      <c r="H17" s="188">
        <v>-161.16</v>
      </c>
    </row>
    <row r="18" spans="1:8" x14ac:dyDescent="0.3">
      <c r="A18">
        <v>1453583</v>
      </c>
      <c r="B18" s="189">
        <v>45995</v>
      </c>
      <c r="C18" s="189" t="s">
        <v>423</v>
      </c>
      <c r="D18" s="189" t="s">
        <v>430</v>
      </c>
      <c r="E18" t="s">
        <v>393</v>
      </c>
      <c r="F18" s="188">
        <v>7.51</v>
      </c>
      <c r="G18" s="188"/>
      <c r="H18" s="188">
        <v>-168.67</v>
      </c>
    </row>
    <row r="19" spans="1:8" x14ac:dyDescent="0.3">
      <c r="A19">
        <v>1453658</v>
      </c>
      <c r="B19" s="189">
        <v>45995</v>
      </c>
      <c r="C19" s="189" t="s">
        <v>421</v>
      </c>
      <c r="D19" s="189" t="s">
        <v>431</v>
      </c>
      <c r="E19" t="s">
        <v>394</v>
      </c>
      <c r="F19" s="188"/>
      <c r="G19" s="188">
        <v>95.52</v>
      </c>
      <c r="H19" s="188">
        <v>-73.150000000000006</v>
      </c>
    </row>
    <row r="20" spans="1:8" x14ac:dyDescent="0.3">
      <c r="A20">
        <v>1453661</v>
      </c>
      <c r="B20" s="189">
        <v>45995</v>
      </c>
      <c r="C20" s="189" t="s">
        <v>423</v>
      </c>
      <c r="D20" s="189" t="s">
        <v>432</v>
      </c>
      <c r="E20" t="s">
        <v>395</v>
      </c>
      <c r="F20" s="188">
        <v>14.34</v>
      </c>
      <c r="G20" s="188"/>
      <c r="H20" s="188">
        <v>-87.49</v>
      </c>
    </row>
    <row r="21" spans="1:8" x14ac:dyDescent="0.3">
      <c r="A21" s="190">
        <v>1456340</v>
      </c>
      <c r="B21" s="191">
        <v>45995</v>
      </c>
      <c r="C21" s="195" t="s">
        <v>433</v>
      </c>
      <c r="D21" s="191" t="s">
        <v>434</v>
      </c>
      <c r="E21" s="190" t="s">
        <v>396</v>
      </c>
      <c r="F21" s="192">
        <v>95.52</v>
      </c>
      <c r="G21" s="192"/>
      <c r="H21" s="192">
        <v>-183.01</v>
      </c>
    </row>
    <row r="22" spans="1:8" x14ac:dyDescent="0.3">
      <c r="A22">
        <v>1455657</v>
      </c>
      <c r="B22" s="189">
        <v>46000</v>
      </c>
      <c r="C22" s="189" t="s">
        <v>421</v>
      </c>
      <c r="D22" s="189" t="s">
        <v>435</v>
      </c>
      <c r="E22" t="s">
        <v>397</v>
      </c>
      <c r="F22" s="188"/>
      <c r="G22" s="188">
        <v>50</v>
      </c>
      <c r="H22" s="188">
        <v>-133.01</v>
      </c>
    </row>
    <row r="23" spans="1:8" x14ac:dyDescent="0.3">
      <c r="A23">
        <v>1455660</v>
      </c>
      <c r="B23" s="189">
        <v>46000</v>
      </c>
      <c r="C23" s="189" t="s">
        <v>423</v>
      </c>
      <c r="D23" s="189" t="s">
        <v>436</v>
      </c>
      <c r="E23" t="s">
        <v>398</v>
      </c>
      <c r="F23" s="188">
        <v>7.51</v>
      </c>
      <c r="G23" s="188"/>
      <c r="H23" s="188">
        <v>-140.52000000000001</v>
      </c>
    </row>
    <row r="24" spans="1:8" x14ac:dyDescent="0.3">
      <c r="A24">
        <v>1457914</v>
      </c>
      <c r="B24" s="189">
        <v>46007</v>
      </c>
      <c r="C24" s="189" t="s">
        <v>421</v>
      </c>
      <c r="D24" s="189" t="s">
        <v>437</v>
      </c>
      <c r="E24" t="s">
        <v>399</v>
      </c>
      <c r="F24" s="188"/>
      <c r="G24" s="188">
        <v>210</v>
      </c>
      <c r="H24" s="188">
        <v>69.48</v>
      </c>
    </row>
    <row r="25" spans="1:8" x14ac:dyDescent="0.3">
      <c r="A25">
        <v>1457917</v>
      </c>
      <c r="B25" s="189">
        <v>46007</v>
      </c>
      <c r="C25" s="189" t="s">
        <v>423</v>
      </c>
      <c r="D25" s="189" t="s">
        <v>438</v>
      </c>
      <c r="E25" t="s">
        <v>400</v>
      </c>
      <c r="F25" s="188">
        <v>31.52</v>
      </c>
      <c r="G25" s="188"/>
      <c r="H25" s="188">
        <v>37.96</v>
      </c>
    </row>
    <row r="26" spans="1:8" x14ac:dyDescent="0.3">
      <c r="A26">
        <v>1458555</v>
      </c>
      <c r="B26" s="189">
        <v>46009</v>
      </c>
      <c r="C26" s="189" t="s">
        <v>421</v>
      </c>
      <c r="D26" s="189" t="s">
        <v>439</v>
      </c>
      <c r="E26" t="s">
        <v>401</v>
      </c>
      <c r="F26" s="188"/>
      <c r="G26" s="188">
        <v>150</v>
      </c>
      <c r="H26" s="188">
        <v>187.96</v>
      </c>
    </row>
    <row r="27" spans="1:8" x14ac:dyDescent="0.3">
      <c r="A27">
        <v>1458558</v>
      </c>
      <c r="B27" s="189">
        <v>46009</v>
      </c>
      <c r="C27" s="189" t="s">
        <v>423</v>
      </c>
      <c r="D27" s="189" t="s">
        <v>440</v>
      </c>
      <c r="E27" t="s">
        <v>402</v>
      </c>
      <c r="F27" s="188">
        <v>22.52</v>
      </c>
      <c r="G27" s="188"/>
      <c r="H27" s="188">
        <v>165.44</v>
      </c>
    </row>
    <row r="28" spans="1:8" x14ac:dyDescent="0.3">
      <c r="A28" s="190">
        <v>1458797</v>
      </c>
      <c r="B28" s="191">
        <v>46010</v>
      </c>
      <c r="C28" s="196" t="s">
        <v>441</v>
      </c>
      <c r="D28" s="196" t="s">
        <v>442</v>
      </c>
      <c r="E28" s="190" t="s">
        <v>107</v>
      </c>
      <c r="F28" s="192">
        <v>543</v>
      </c>
      <c r="G28" s="192"/>
      <c r="H28" s="192">
        <v>-377.56</v>
      </c>
    </row>
    <row r="29" spans="1:8" x14ac:dyDescent="0.3">
      <c r="A29">
        <v>1459776</v>
      </c>
      <c r="B29" s="189">
        <v>46015</v>
      </c>
      <c r="C29" s="189" t="s">
        <v>421</v>
      </c>
      <c r="D29" s="189" t="s">
        <v>443</v>
      </c>
      <c r="E29" t="s">
        <v>403</v>
      </c>
      <c r="F29" s="188"/>
      <c r="G29" s="188">
        <v>65</v>
      </c>
      <c r="H29" s="188">
        <v>-312.56</v>
      </c>
    </row>
    <row r="30" spans="1:8" x14ac:dyDescent="0.3">
      <c r="A30">
        <v>1459779</v>
      </c>
      <c r="B30" s="189">
        <v>46015</v>
      </c>
      <c r="C30" s="189" t="s">
        <v>423</v>
      </c>
      <c r="D30" s="189" t="s">
        <v>444</v>
      </c>
      <c r="E30" t="s">
        <v>404</v>
      </c>
      <c r="F30" s="188">
        <v>9.75</v>
      </c>
      <c r="G30" s="188"/>
      <c r="H30" s="188">
        <v>-322.31</v>
      </c>
    </row>
    <row r="31" spans="1:8" x14ac:dyDescent="0.3">
      <c r="A31">
        <v>1459944</v>
      </c>
      <c r="B31" s="189">
        <v>46020</v>
      </c>
      <c r="C31" s="189" t="s">
        <v>421</v>
      </c>
      <c r="D31" s="189" t="s">
        <v>445</v>
      </c>
      <c r="E31" t="s">
        <v>405</v>
      </c>
      <c r="F31" s="188"/>
      <c r="G31" s="188">
        <v>65</v>
      </c>
      <c r="H31" s="188">
        <v>-257.31</v>
      </c>
    </row>
    <row r="32" spans="1:8" x14ac:dyDescent="0.3">
      <c r="A32">
        <v>1459947</v>
      </c>
      <c r="B32" s="189">
        <v>46020</v>
      </c>
      <c r="C32" s="189" t="s">
        <v>423</v>
      </c>
      <c r="D32" s="189" t="s">
        <v>446</v>
      </c>
      <c r="E32" t="s">
        <v>406</v>
      </c>
      <c r="F32" s="188">
        <v>9.75</v>
      </c>
      <c r="G32" s="188"/>
      <c r="H32" s="188">
        <v>-267.06</v>
      </c>
    </row>
    <row r="33" spans="1:8" x14ac:dyDescent="0.3">
      <c r="A33">
        <v>1459951</v>
      </c>
      <c r="B33" s="189">
        <v>46020</v>
      </c>
      <c r="C33" s="189" t="s">
        <v>421</v>
      </c>
      <c r="D33" s="189" t="s">
        <v>447</v>
      </c>
      <c r="E33" t="s">
        <v>407</v>
      </c>
      <c r="F33" s="188"/>
      <c r="G33" s="188">
        <v>65</v>
      </c>
      <c r="H33" s="188">
        <v>-202.06</v>
      </c>
    </row>
    <row r="34" spans="1:8" x14ac:dyDescent="0.3">
      <c r="A34">
        <v>1459954</v>
      </c>
      <c r="B34" s="189">
        <v>46020</v>
      </c>
      <c r="C34" s="189" t="s">
        <v>423</v>
      </c>
      <c r="D34" s="189" t="s">
        <v>448</v>
      </c>
      <c r="E34" t="s">
        <v>408</v>
      </c>
      <c r="F34" s="188">
        <v>9.75</v>
      </c>
      <c r="G34" s="188"/>
      <c r="H34" s="188">
        <v>-211.81</v>
      </c>
    </row>
    <row r="35" spans="1:8" x14ac:dyDescent="0.3">
      <c r="A35">
        <v>1460016</v>
      </c>
      <c r="B35" s="189">
        <v>46020</v>
      </c>
      <c r="C35" s="189" t="s">
        <v>421</v>
      </c>
      <c r="D35" s="189" t="s">
        <v>449</v>
      </c>
      <c r="E35" t="s">
        <v>409</v>
      </c>
      <c r="F35" s="188"/>
      <c r="G35" s="188">
        <v>150</v>
      </c>
      <c r="H35" s="188">
        <v>-61.81</v>
      </c>
    </row>
    <row r="36" spans="1:8" x14ac:dyDescent="0.3">
      <c r="A36">
        <v>1460019</v>
      </c>
      <c r="B36" s="189">
        <v>46020</v>
      </c>
      <c r="C36" s="189" t="s">
        <v>423</v>
      </c>
      <c r="D36" s="189" t="s">
        <v>450</v>
      </c>
      <c r="E36" t="s">
        <v>410</v>
      </c>
      <c r="F36" s="188">
        <v>22.52</v>
      </c>
      <c r="G36" s="188"/>
      <c r="H36" s="188">
        <v>-84.33</v>
      </c>
    </row>
    <row r="37" spans="1:8" x14ac:dyDescent="0.3">
      <c r="A37">
        <v>1460034</v>
      </c>
      <c r="B37" s="189">
        <v>46020</v>
      </c>
      <c r="C37" s="189" t="s">
        <v>421</v>
      </c>
      <c r="D37" s="189" t="s">
        <v>451</v>
      </c>
      <c r="E37" t="s">
        <v>411</v>
      </c>
      <c r="F37" s="188"/>
      <c r="G37" s="188">
        <v>65</v>
      </c>
      <c r="H37" s="188">
        <v>-19.329999999999998</v>
      </c>
    </row>
    <row r="38" spans="1:8" x14ac:dyDescent="0.3">
      <c r="A38">
        <v>1460037</v>
      </c>
      <c r="B38" s="189">
        <v>46020</v>
      </c>
      <c r="C38" s="189" t="s">
        <v>423</v>
      </c>
      <c r="D38" s="189" t="s">
        <v>452</v>
      </c>
      <c r="E38" t="s">
        <v>412</v>
      </c>
      <c r="F38" s="188">
        <v>9.75</v>
      </c>
      <c r="G38" s="188"/>
      <c r="H38" s="188">
        <v>-29.08</v>
      </c>
    </row>
    <row r="39" spans="1:8" x14ac:dyDescent="0.3">
      <c r="A39">
        <v>1460050</v>
      </c>
      <c r="B39" s="189">
        <v>46021</v>
      </c>
      <c r="C39" s="189" t="s">
        <v>421</v>
      </c>
      <c r="D39" s="189" t="s">
        <v>453</v>
      </c>
      <c r="E39" t="s">
        <v>413</v>
      </c>
      <c r="F39" s="188"/>
      <c r="G39" s="188">
        <v>65</v>
      </c>
      <c r="H39" s="188">
        <v>35.92</v>
      </c>
    </row>
    <row r="40" spans="1:8" x14ac:dyDescent="0.3">
      <c r="A40">
        <v>1460053</v>
      </c>
      <c r="B40" s="189">
        <v>46021</v>
      </c>
      <c r="C40" s="189" t="s">
        <v>423</v>
      </c>
      <c r="D40" s="189" t="s">
        <v>454</v>
      </c>
      <c r="E40" t="s">
        <v>414</v>
      </c>
      <c r="F40" s="188">
        <v>9.75</v>
      </c>
      <c r="G40" s="188"/>
      <c r="H40" s="188">
        <v>26.17</v>
      </c>
    </row>
    <row r="41" spans="1:8" x14ac:dyDescent="0.3">
      <c r="A41">
        <v>1461811</v>
      </c>
      <c r="B41" s="189">
        <v>46022</v>
      </c>
      <c r="C41" s="189" t="s">
        <v>421</v>
      </c>
      <c r="D41" s="189" t="s">
        <v>455</v>
      </c>
      <c r="E41" t="s">
        <v>415</v>
      </c>
      <c r="F41" s="188"/>
      <c r="G41" s="188">
        <v>65</v>
      </c>
      <c r="H41" s="188">
        <v>91.17</v>
      </c>
    </row>
    <row r="42" spans="1:8" x14ac:dyDescent="0.3">
      <c r="A42">
        <v>1461814</v>
      </c>
      <c r="B42" s="189">
        <v>46022</v>
      </c>
      <c r="C42" s="189" t="s">
        <v>423</v>
      </c>
      <c r="D42" s="189" t="s">
        <v>456</v>
      </c>
      <c r="E42" t="s">
        <v>385</v>
      </c>
      <c r="F42" s="188">
        <v>9.7899999999999991</v>
      </c>
      <c r="G42" s="188"/>
      <c r="H42" s="188">
        <v>81.38</v>
      </c>
    </row>
    <row r="43" spans="1:8" x14ac:dyDescent="0.3">
      <c r="F43" s="193">
        <v>825.51</v>
      </c>
      <c r="G43" s="193">
        <v>1245.52</v>
      </c>
      <c r="H43" s="193">
        <v>84</v>
      </c>
    </row>
    <row r="46" spans="1:8" x14ac:dyDescent="0.3">
      <c r="A46" t="s">
        <v>457</v>
      </c>
    </row>
    <row r="48" spans="1:8" x14ac:dyDescent="0.3">
      <c r="A48" t="s">
        <v>462</v>
      </c>
    </row>
    <row r="49" spans="1:8" x14ac:dyDescent="0.3">
      <c r="A49" t="s">
        <v>464</v>
      </c>
    </row>
    <row r="50" spans="1:8" x14ac:dyDescent="0.3">
      <c r="A50" t="s">
        <v>463</v>
      </c>
    </row>
    <row r="53" spans="1:8" x14ac:dyDescent="0.3">
      <c r="A53" t="s">
        <v>416</v>
      </c>
    </row>
    <row r="55" spans="1:8" ht="15" thickBot="1" x14ac:dyDescent="0.35">
      <c r="A55" t="s">
        <v>417</v>
      </c>
    </row>
    <row r="56" spans="1:8" x14ac:dyDescent="0.3">
      <c r="A56" t="s">
        <v>382</v>
      </c>
      <c r="E56" s="194"/>
    </row>
    <row r="57" spans="1:8" x14ac:dyDescent="0.3">
      <c r="A57" t="s">
        <v>383</v>
      </c>
    </row>
    <row r="58" spans="1:8" x14ac:dyDescent="0.3">
      <c r="A58" t="s">
        <v>384</v>
      </c>
    </row>
    <row r="60" spans="1:8" x14ac:dyDescent="0.3">
      <c r="A60" s="187" t="s">
        <v>418</v>
      </c>
      <c r="B60" s="187" t="s">
        <v>23</v>
      </c>
      <c r="C60" s="187" t="s">
        <v>419</v>
      </c>
      <c r="D60" s="187" t="s">
        <v>420</v>
      </c>
      <c r="E60" s="187" t="s">
        <v>24</v>
      </c>
      <c r="F60" s="187" t="s">
        <v>25</v>
      </c>
      <c r="G60" s="187" t="s">
        <v>26</v>
      </c>
      <c r="H60" s="187" t="s">
        <v>27</v>
      </c>
    </row>
    <row r="61" spans="1:8" x14ac:dyDescent="0.3">
      <c r="E61" s="187" t="s">
        <v>28</v>
      </c>
      <c r="F61" s="188"/>
      <c r="G61" s="188"/>
      <c r="H61" s="188">
        <v>-337</v>
      </c>
    </row>
    <row r="62" spans="1:8" x14ac:dyDescent="0.3">
      <c r="A62">
        <v>1452335</v>
      </c>
      <c r="B62" s="189">
        <v>45993</v>
      </c>
      <c r="C62" s="189" t="s">
        <v>421</v>
      </c>
      <c r="D62" s="189" t="s">
        <v>422</v>
      </c>
      <c r="E62" t="s">
        <v>386</v>
      </c>
      <c r="F62" s="188"/>
      <c r="G62" s="188">
        <v>50</v>
      </c>
      <c r="H62" s="188">
        <f>H61-F62+G62</f>
        <v>-287</v>
      </c>
    </row>
    <row r="63" spans="1:8" x14ac:dyDescent="0.3">
      <c r="A63">
        <v>1452338</v>
      </c>
      <c r="B63" s="189">
        <v>45993</v>
      </c>
      <c r="C63" s="189" t="s">
        <v>423</v>
      </c>
      <c r="D63" s="189" t="s">
        <v>424</v>
      </c>
      <c r="E63" t="s">
        <v>387</v>
      </c>
      <c r="F63" s="188">
        <v>7.51</v>
      </c>
      <c r="G63" s="188"/>
      <c r="H63" s="188">
        <f t="shared" ref="H63:H97" si="0">H62-F63+G63</f>
        <v>-294.51</v>
      </c>
    </row>
    <row r="64" spans="1:8" x14ac:dyDescent="0.3">
      <c r="A64">
        <v>1453235</v>
      </c>
      <c r="B64" s="189">
        <v>45995</v>
      </c>
      <c r="C64" s="189" t="s">
        <v>421</v>
      </c>
      <c r="D64" s="189" t="s">
        <v>425</v>
      </c>
      <c r="E64" t="s">
        <v>388</v>
      </c>
      <c r="F64" s="188"/>
      <c r="G64" s="188">
        <v>50</v>
      </c>
      <c r="H64" s="188">
        <f t="shared" si="0"/>
        <v>-244.51</v>
      </c>
    </row>
    <row r="65" spans="1:8" x14ac:dyDescent="0.3">
      <c r="A65">
        <v>1453238</v>
      </c>
      <c r="B65" s="189">
        <v>45995</v>
      </c>
      <c r="C65" s="189" t="s">
        <v>423</v>
      </c>
      <c r="D65" s="189" t="s">
        <v>426</v>
      </c>
      <c r="E65" t="s">
        <v>389</v>
      </c>
      <c r="F65" s="188">
        <v>7.51</v>
      </c>
      <c r="G65" s="188"/>
      <c r="H65" s="188">
        <f t="shared" si="0"/>
        <v>-252.01999999999998</v>
      </c>
    </row>
    <row r="66" spans="1:8" x14ac:dyDescent="0.3">
      <c r="A66">
        <v>1453242</v>
      </c>
      <c r="B66" s="189">
        <v>45995</v>
      </c>
      <c r="C66" s="189" t="s">
        <v>421</v>
      </c>
      <c r="D66" s="189" t="s">
        <v>427</v>
      </c>
      <c r="E66" t="s">
        <v>390</v>
      </c>
      <c r="F66" s="188"/>
      <c r="G66" s="188">
        <v>50</v>
      </c>
      <c r="H66" s="188">
        <f t="shared" si="0"/>
        <v>-202.01999999999998</v>
      </c>
    </row>
    <row r="67" spans="1:8" x14ac:dyDescent="0.3">
      <c r="A67">
        <v>1453245</v>
      </c>
      <c r="B67" s="189">
        <v>45995</v>
      </c>
      <c r="C67" s="189" t="s">
        <v>423</v>
      </c>
      <c r="D67" s="189" t="s">
        <v>428</v>
      </c>
      <c r="E67" t="s">
        <v>391</v>
      </c>
      <c r="F67" s="188">
        <v>7.51</v>
      </c>
      <c r="G67" s="188"/>
      <c r="H67" s="188">
        <f t="shared" si="0"/>
        <v>-209.52999999999997</v>
      </c>
    </row>
    <row r="68" spans="1:8" x14ac:dyDescent="0.3">
      <c r="A68">
        <v>1453580</v>
      </c>
      <c r="B68" s="189">
        <v>45995</v>
      </c>
      <c r="C68" s="189" t="s">
        <v>421</v>
      </c>
      <c r="D68" s="189" t="s">
        <v>429</v>
      </c>
      <c r="E68" t="s">
        <v>392</v>
      </c>
      <c r="F68" s="188"/>
      <c r="G68" s="188">
        <v>50</v>
      </c>
      <c r="H68" s="188">
        <f t="shared" si="0"/>
        <v>-159.52999999999997</v>
      </c>
    </row>
    <row r="69" spans="1:8" x14ac:dyDescent="0.3">
      <c r="A69">
        <v>1453583</v>
      </c>
      <c r="B69" s="189">
        <v>45995</v>
      </c>
      <c r="C69" s="189" t="s">
        <v>423</v>
      </c>
      <c r="D69" s="189" t="s">
        <v>430</v>
      </c>
      <c r="E69" t="s">
        <v>393</v>
      </c>
      <c r="F69" s="188">
        <v>7.51</v>
      </c>
      <c r="G69" s="188"/>
      <c r="H69" s="188">
        <f t="shared" si="0"/>
        <v>-167.03999999999996</v>
      </c>
    </row>
    <row r="70" spans="1:8" x14ac:dyDescent="0.3">
      <c r="A70">
        <v>1453658</v>
      </c>
      <c r="B70" s="189">
        <v>45995</v>
      </c>
      <c r="C70" s="189" t="s">
        <v>421</v>
      </c>
      <c r="D70" s="189" t="s">
        <v>431</v>
      </c>
      <c r="E70" t="s">
        <v>394</v>
      </c>
      <c r="F70" s="188"/>
      <c r="G70" s="188">
        <v>95.52</v>
      </c>
      <c r="H70" s="188">
        <f t="shared" si="0"/>
        <v>-71.519999999999968</v>
      </c>
    </row>
    <row r="71" spans="1:8" x14ac:dyDescent="0.3">
      <c r="A71">
        <v>1453661</v>
      </c>
      <c r="B71" s="189">
        <v>45995</v>
      </c>
      <c r="C71" s="189" t="s">
        <v>423</v>
      </c>
      <c r="D71" s="189" t="s">
        <v>432</v>
      </c>
      <c r="E71" t="s">
        <v>395</v>
      </c>
      <c r="F71" s="188">
        <v>14.34</v>
      </c>
      <c r="G71" s="188"/>
      <c r="H71" s="188">
        <f t="shared" si="0"/>
        <v>-85.859999999999971</v>
      </c>
    </row>
    <row r="72" spans="1:8" x14ac:dyDescent="0.3">
      <c r="A72" s="190">
        <v>1456340</v>
      </c>
      <c r="B72" s="191">
        <v>45995</v>
      </c>
      <c r="C72" s="195" t="s">
        <v>433</v>
      </c>
      <c r="D72" s="191" t="s">
        <v>434</v>
      </c>
      <c r="E72" s="190" t="s">
        <v>396</v>
      </c>
      <c r="F72" s="192">
        <v>95.52</v>
      </c>
      <c r="G72" s="192"/>
      <c r="H72" s="188">
        <f t="shared" si="0"/>
        <v>-181.37999999999997</v>
      </c>
    </row>
    <row r="73" spans="1:8" x14ac:dyDescent="0.3">
      <c r="A73">
        <v>1455657</v>
      </c>
      <c r="B73" s="189">
        <v>46000</v>
      </c>
      <c r="C73" s="189" t="s">
        <v>421</v>
      </c>
      <c r="D73" s="189" t="s">
        <v>435</v>
      </c>
      <c r="E73" t="s">
        <v>397</v>
      </c>
      <c r="F73" s="188"/>
      <c r="G73" s="188">
        <v>50</v>
      </c>
      <c r="H73" s="188">
        <f t="shared" si="0"/>
        <v>-131.37999999999997</v>
      </c>
    </row>
    <row r="74" spans="1:8" x14ac:dyDescent="0.3">
      <c r="A74">
        <v>1455660</v>
      </c>
      <c r="B74" s="189">
        <v>46000</v>
      </c>
      <c r="C74" s="189" t="s">
        <v>423</v>
      </c>
      <c r="D74" s="189" t="s">
        <v>436</v>
      </c>
      <c r="E74" t="s">
        <v>398</v>
      </c>
      <c r="F74" s="188">
        <v>7.51</v>
      </c>
      <c r="G74" s="188"/>
      <c r="H74" s="188">
        <f t="shared" si="0"/>
        <v>-138.88999999999996</v>
      </c>
    </row>
    <row r="75" spans="1:8" x14ac:dyDescent="0.3">
      <c r="A75">
        <v>1457914</v>
      </c>
      <c r="B75" s="189">
        <v>46007</v>
      </c>
      <c r="C75" s="189" t="s">
        <v>421</v>
      </c>
      <c r="D75" s="189" t="s">
        <v>437</v>
      </c>
      <c r="E75" t="s">
        <v>399</v>
      </c>
      <c r="F75" s="188"/>
      <c r="G75" s="188">
        <v>210</v>
      </c>
      <c r="H75" s="188">
        <f t="shared" si="0"/>
        <v>71.110000000000042</v>
      </c>
    </row>
    <row r="76" spans="1:8" x14ac:dyDescent="0.3">
      <c r="A76">
        <v>1457917</v>
      </c>
      <c r="B76" s="189">
        <v>46007</v>
      </c>
      <c r="C76" s="189" t="s">
        <v>423</v>
      </c>
      <c r="D76" s="189" t="s">
        <v>438</v>
      </c>
      <c r="E76" t="s">
        <v>400</v>
      </c>
      <c r="F76" s="188">
        <v>31.52</v>
      </c>
      <c r="G76" s="188"/>
      <c r="H76" s="188">
        <f t="shared" si="0"/>
        <v>39.590000000000046</v>
      </c>
    </row>
    <row r="77" spans="1:8" x14ac:dyDescent="0.3">
      <c r="A77">
        <v>1457918</v>
      </c>
      <c r="B77" s="189">
        <v>46007</v>
      </c>
      <c r="C77" s="189" t="s">
        <v>421</v>
      </c>
      <c r="D77" s="189" t="s">
        <v>460</v>
      </c>
      <c r="E77" t="s">
        <v>399</v>
      </c>
      <c r="F77" s="188"/>
      <c r="G77" s="188">
        <v>210</v>
      </c>
      <c r="H77" s="188">
        <f t="shared" si="0"/>
        <v>249.59000000000003</v>
      </c>
    </row>
    <row r="78" spans="1:8" x14ac:dyDescent="0.3">
      <c r="A78">
        <v>1457919</v>
      </c>
      <c r="B78" s="189">
        <v>46007</v>
      </c>
      <c r="C78" s="189" t="s">
        <v>423</v>
      </c>
      <c r="D78" s="189" t="s">
        <v>461</v>
      </c>
      <c r="E78" t="s">
        <v>400</v>
      </c>
      <c r="F78" s="188">
        <v>32</v>
      </c>
      <c r="G78" s="188"/>
      <c r="H78" s="188">
        <f t="shared" si="0"/>
        <v>217.59000000000003</v>
      </c>
    </row>
    <row r="79" spans="1:8" x14ac:dyDescent="0.3">
      <c r="A79">
        <v>1457925</v>
      </c>
      <c r="B79" s="189">
        <v>46007</v>
      </c>
      <c r="C79" s="189"/>
      <c r="D79" s="189" t="s">
        <v>460</v>
      </c>
      <c r="E79" s="108" t="s">
        <v>458</v>
      </c>
      <c r="F79" s="188">
        <v>210</v>
      </c>
      <c r="G79" s="188"/>
      <c r="H79" s="188">
        <f t="shared" si="0"/>
        <v>7.5900000000000318</v>
      </c>
    </row>
    <row r="80" spans="1:8" x14ac:dyDescent="0.3">
      <c r="A80">
        <v>1457926</v>
      </c>
      <c r="B80" s="189">
        <v>46007</v>
      </c>
      <c r="C80" s="189"/>
      <c r="D80" s="189" t="s">
        <v>461</v>
      </c>
      <c r="E80" s="108" t="s">
        <v>459</v>
      </c>
      <c r="F80" s="188"/>
      <c r="G80" s="188">
        <v>32</v>
      </c>
      <c r="H80" s="188">
        <f t="shared" si="0"/>
        <v>39.590000000000032</v>
      </c>
    </row>
    <row r="81" spans="1:8" x14ac:dyDescent="0.3">
      <c r="A81">
        <v>1458555</v>
      </c>
      <c r="B81" s="189">
        <v>46009</v>
      </c>
      <c r="C81" s="189" t="s">
        <v>421</v>
      </c>
      <c r="D81" s="189" t="s">
        <v>439</v>
      </c>
      <c r="E81" t="s">
        <v>401</v>
      </c>
      <c r="F81" s="188"/>
      <c r="G81" s="188">
        <v>150</v>
      </c>
      <c r="H81" s="188">
        <f t="shared" si="0"/>
        <v>189.59000000000003</v>
      </c>
    </row>
    <row r="82" spans="1:8" x14ac:dyDescent="0.3">
      <c r="A82">
        <v>1458558</v>
      </c>
      <c r="B82" s="189">
        <v>46009</v>
      </c>
      <c r="C82" s="189" t="s">
        <v>423</v>
      </c>
      <c r="D82" s="189" t="s">
        <v>440</v>
      </c>
      <c r="E82" t="s">
        <v>402</v>
      </c>
      <c r="F82" s="188">
        <v>22.52</v>
      </c>
      <c r="G82" s="188"/>
      <c r="H82" s="188">
        <f t="shared" si="0"/>
        <v>167.07000000000002</v>
      </c>
    </row>
    <row r="83" spans="1:8" x14ac:dyDescent="0.3">
      <c r="A83" s="190">
        <v>1458797</v>
      </c>
      <c r="B83" s="191">
        <v>46010</v>
      </c>
      <c r="C83" s="196" t="s">
        <v>441</v>
      </c>
      <c r="D83" s="196" t="s">
        <v>442</v>
      </c>
      <c r="E83" s="190" t="s">
        <v>107</v>
      </c>
      <c r="F83" s="192">
        <v>543</v>
      </c>
      <c r="G83" s="192"/>
      <c r="H83" s="188">
        <f t="shared" si="0"/>
        <v>-375.92999999999995</v>
      </c>
    </row>
    <row r="84" spans="1:8" x14ac:dyDescent="0.3">
      <c r="A84">
        <v>1459776</v>
      </c>
      <c r="B84" s="189">
        <v>46015</v>
      </c>
      <c r="C84" s="189" t="s">
        <v>421</v>
      </c>
      <c r="D84" s="189" t="s">
        <v>443</v>
      </c>
      <c r="E84" t="s">
        <v>403</v>
      </c>
      <c r="F84" s="188"/>
      <c r="G84" s="188">
        <v>65</v>
      </c>
      <c r="H84" s="188">
        <f t="shared" si="0"/>
        <v>-310.92999999999995</v>
      </c>
    </row>
    <row r="85" spans="1:8" x14ac:dyDescent="0.3">
      <c r="A85">
        <v>1459779</v>
      </c>
      <c r="B85" s="189">
        <v>46015</v>
      </c>
      <c r="C85" s="189" t="s">
        <v>423</v>
      </c>
      <c r="D85" s="189" t="s">
        <v>444</v>
      </c>
      <c r="E85" t="s">
        <v>404</v>
      </c>
      <c r="F85" s="188">
        <v>9.75</v>
      </c>
      <c r="G85" s="188"/>
      <c r="H85" s="188">
        <f t="shared" si="0"/>
        <v>-320.67999999999995</v>
      </c>
    </row>
    <row r="86" spans="1:8" x14ac:dyDescent="0.3">
      <c r="A86">
        <v>1459944</v>
      </c>
      <c r="B86" s="189">
        <v>46020</v>
      </c>
      <c r="C86" s="189" t="s">
        <v>421</v>
      </c>
      <c r="D86" s="189" t="s">
        <v>445</v>
      </c>
      <c r="E86" t="s">
        <v>405</v>
      </c>
      <c r="F86" s="188"/>
      <c r="G86" s="188">
        <v>65</v>
      </c>
      <c r="H86" s="188">
        <f t="shared" si="0"/>
        <v>-255.67999999999995</v>
      </c>
    </row>
    <row r="87" spans="1:8" x14ac:dyDescent="0.3">
      <c r="A87">
        <v>1459947</v>
      </c>
      <c r="B87" s="189">
        <v>46020</v>
      </c>
      <c r="C87" s="189" t="s">
        <v>423</v>
      </c>
      <c r="D87" s="189" t="s">
        <v>446</v>
      </c>
      <c r="E87" t="s">
        <v>406</v>
      </c>
      <c r="F87" s="188">
        <v>9.75</v>
      </c>
      <c r="G87" s="188"/>
      <c r="H87" s="188">
        <f t="shared" si="0"/>
        <v>-265.42999999999995</v>
      </c>
    </row>
    <row r="88" spans="1:8" x14ac:dyDescent="0.3">
      <c r="A88">
        <v>1459951</v>
      </c>
      <c r="B88" s="189">
        <v>46020</v>
      </c>
      <c r="C88" s="189" t="s">
        <v>421</v>
      </c>
      <c r="D88" s="189" t="s">
        <v>447</v>
      </c>
      <c r="E88" t="s">
        <v>407</v>
      </c>
      <c r="F88" s="188"/>
      <c r="G88" s="188">
        <v>65</v>
      </c>
      <c r="H88" s="188">
        <f t="shared" si="0"/>
        <v>-200.42999999999995</v>
      </c>
    </row>
    <row r="89" spans="1:8" x14ac:dyDescent="0.3">
      <c r="A89">
        <v>1459954</v>
      </c>
      <c r="B89" s="189">
        <v>46020</v>
      </c>
      <c r="C89" s="189" t="s">
        <v>423</v>
      </c>
      <c r="D89" s="189" t="s">
        <v>448</v>
      </c>
      <c r="E89" t="s">
        <v>408</v>
      </c>
      <c r="F89" s="188">
        <v>9.75</v>
      </c>
      <c r="G89" s="188"/>
      <c r="H89" s="188">
        <f t="shared" si="0"/>
        <v>-210.17999999999995</v>
      </c>
    </row>
    <row r="90" spans="1:8" x14ac:dyDescent="0.3">
      <c r="A90">
        <v>1460016</v>
      </c>
      <c r="B90" s="189">
        <v>46020</v>
      </c>
      <c r="C90" s="189" t="s">
        <v>421</v>
      </c>
      <c r="D90" s="189" t="s">
        <v>449</v>
      </c>
      <c r="E90" t="s">
        <v>409</v>
      </c>
      <c r="F90" s="188"/>
      <c r="G90" s="188">
        <v>150</v>
      </c>
      <c r="H90" s="188">
        <f t="shared" si="0"/>
        <v>-60.17999999999995</v>
      </c>
    </row>
    <row r="91" spans="1:8" x14ac:dyDescent="0.3">
      <c r="A91">
        <v>1460019</v>
      </c>
      <c r="B91" s="189">
        <v>46020</v>
      </c>
      <c r="C91" s="189" t="s">
        <v>423</v>
      </c>
      <c r="D91" s="189" t="s">
        <v>450</v>
      </c>
      <c r="E91" t="s">
        <v>410</v>
      </c>
      <c r="F91" s="188">
        <v>22.52</v>
      </c>
      <c r="G91" s="188"/>
      <c r="H91" s="188">
        <f t="shared" si="0"/>
        <v>-82.699999999999946</v>
      </c>
    </row>
    <row r="92" spans="1:8" x14ac:dyDescent="0.3">
      <c r="A92">
        <v>1460034</v>
      </c>
      <c r="B92" s="189">
        <v>46020</v>
      </c>
      <c r="C92" s="189" t="s">
        <v>421</v>
      </c>
      <c r="D92" s="189" t="s">
        <v>451</v>
      </c>
      <c r="E92" t="s">
        <v>411</v>
      </c>
      <c r="F92" s="188"/>
      <c r="G92" s="188">
        <v>65</v>
      </c>
      <c r="H92" s="188">
        <f t="shared" si="0"/>
        <v>-17.699999999999946</v>
      </c>
    </row>
    <row r="93" spans="1:8" x14ac:dyDescent="0.3">
      <c r="A93">
        <v>1460037</v>
      </c>
      <c r="B93" s="189">
        <v>46020</v>
      </c>
      <c r="C93" s="189" t="s">
        <v>423</v>
      </c>
      <c r="D93" s="189" t="s">
        <v>452</v>
      </c>
      <c r="E93" t="s">
        <v>412</v>
      </c>
      <c r="F93" s="188">
        <v>9.75</v>
      </c>
      <c r="G93" s="188"/>
      <c r="H93" s="188">
        <f t="shared" si="0"/>
        <v>-27.449999999999946</v>
      </c>
    </row>
    <row r="94" spans="1:8" x14ac:dyDescent="0.3">
      <c r="A94">
        <v>1460050</v>
      </c>
      <c r="B94" s="189">
        <v>46021</v>
      </c>
      <c r="C94" s="189" t="s">
        <v>421</v>
      </c>
      <c r="D94" s="189" t="s">
        <v>453</v>
      </c>
      <c r="E94" t="s">
        <v>413</v>
      </c>
      <c r="F94" s="188"/>
      <c r="G94" s="188">
        <v>65</v>
      </c>
      <c r="H94" s="188">
        <f t="shared" si="0"/>
        <v>37.550000000000054</v>
      </c>
    </row>
    <row r="95" spans="1:8" x14ac:dyDescent="0.3">
      <c r="A95">
        <v>1460053</v>
      </c>
      <c r="B95" s="189">
        <v>46021</v>
      </c>
      <c r="C95" s="189" t="s">
        <v>423</v>
      </c>
      <c r="D95" s="189" t="s">
        <v>454</v>
      </c>
      <c r="E95" t="s">
        <v>414</v>
      </c>
      <c r="F95" s="188">
        <v>9.75</v>
      </c>
      <c r="G95" s="188"/>
      <c r="H95" s="188">
        <f t="shared" si="0"/>
        <v>27.800000000000054</v>
      </c>
    </row>
    <row r="96" spans="1:8" x14ac:dyDescent="0.3">
      <c r="A96">
        <v>1461811</v>
      </c>
      <c r="B96" s="189">
        <v>46022</v>
      </c>
      <c r="C96" s="189" t="s">
        <v>421</v>
      </c>
      <c r="D96" s="189" t="s">
        <v>455</v>
      </c>
      <c r="E96" t="s">
        <v>415</v>
      </c>
      <c r="F96" s="188"/>
      <c r="G96" s="188">
        <v>65</v>
      </c>
      <c r="H96" s="188">
        <f t="shared" si="0"/>
        <v>92.800000000000054</v>
      </c>
    </row>
    <row r="97" spans="1:8" x14ac:dyDescent="0.3">
      <c r="A97">
        <v>1461814</v>
      </c>
      <c r="B97" s="189">
        <v>46022</v>
      </c>
      <c r="C97" s="189" t="s">
        <v>423</v>
      </c>
      <c r="D97" s="189" t="s">
        <v>456</v>
      </c>
      <c r="E97" t="s">
        <v>385</v>
      </c>
      <c r="F97" s="188">
        <v>9.7899999999999991</v>
      </c>
      <c r="G97" s="188"/>
      <c r="H97" s="188">
        <f t="shared" si="0"/>
        <v>83.010000000000048</v>
      </c>
    </row>
    <row r="98" spans="1:8" x14ac:dyDescent="0.3">
      <c r="F98" s="193">
        <f>SUM(F61:F97)</f>
        <v>1067.51</v>
      </c>
      <c r="G98" s="193">
        <f>SUM(G61:G97)</f>
        <v>1487.52</v>
      </c>
      <c r="H98" s="193">
        <v>84</v>
      </c>
    </row>
    <row r="99" spans="1:8" x14ac:dyDescent="0.3">
      <c r="A99" s="108" t="s">
        <v>479</v>
      </c>
    </row>
    <row r="100" spans="1:8" x14ac:dyDescent="0.3">
      <c r="A100" s="108" t="s">
        <v>480</v>
      </c>
    </row>
    <row r="101" spans="1:8" x14ac:dyDescent="0.3">
      <c r="A101" s="108"/>
    </row>
    <row r="102" spans="1:8" x14ac:dyDescent="0.3">
      <c r="A102" s="108" t="s">
        <v>478</v>
      </c>
      <c r="B102" s="108"/>
      <c r="C102" s="108"/>
      <c r="D102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92FE-D43E-476C-9C65-4810BBF31F79}">
  <dimension ref="A1:U31"/>
  <sheetViews>
    <sheetView topLeftCell="A10" workbookViewId="0">
      <selection activeCell="C15" sqref="C1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5.33203125" customWidth="1"/>
    <col min="4" max="6" width="9" bestFit="1" customWidth="1"/>
  </cols>
  <sheetData>
    <row r="1" spans="1:20" x14ac:dyDescent="0.3">
      <c r="A1" s="124" t="s">
        <v>20</v>
      </c>
      <c r="B1" s="125"/>
      <c r="C1" s="125"/>
      <c r="D1" s="125"/>
      <c r="E1" s="125"/>
      <c r="F1" s="125"/>
      <c r="N1" s="124" t="s">
        <v>29</v>
      </c>
      <c r="O1" s="125"/>
      <c r="P1" s="125"/>
      <c r="Q1" s="125"/>
      <c r="R1" s="125"/>
      <c r="S1" s="125"/>
      <c r="T1" s="125"/>
    </row>
    <row r="2" spans="1:20" x14ac:dyDescent="0.3">
      <c r="A2" s="125"/>
      <c r="B2" s="125"/>
      <c r="C2" s="125"/>
      <c r="D2" s="125"/>
      <c r="E2" s="125"/>
      <c r="F2" s="125"/>
      <c r="N2" s="171" t="s">
        <v>87</v>
      </c>
      <c r="O2" s="125"/>
      <c r="P2" s="125"/>
      <c r="Q2" s="125"/>
      <c r="R2" s="125"/>
      <c r="S2" s="125"/>
      <c r="T2" s="125"/>
    </row>
    <row r="3" spans="1:20" x14ac:dyDescent="0.3">
      <c r="A3" s="126" t="s">
        <v>140</v>
      </c>
      <c r="B3" s="125"/>
      <c r="C3" s="125"/>
      <c r="D3" s="125"/>
      <c r="E3" s="125"/>
      <c r="F3" s="125"/>
      <c r="N3" s="171" t="s">
        <v>344</v>
      </c>
      <c r="O3" s="125"/>
      <c r="P3" s="125"/>
      <c r="Q3" s="125"/>
      <c r="R3" s="125"/>
      <c r="S3" s="125"/>
      <c r="T3" s="125"/>
    </row>
    <row r="4" spans="1:20" x14ac:dyDescent="0.3">
      <c r="A4" s="125"/>
      <c r="B4" s="125"/>
      <c r="C4" s="125"/>
      <c r="D4" s="125"/>
      <c r="E4" s="125"/>
      <c r="F4" s="125"/>
      <c r="N4" s="171" t="s">
        <v>30</v>
      </c>
      <c r="O4" s="125"/>
      <c r="P4" s="125"/>
      <c r="Q4" s="125"/>
      <c r="R4" s="125"/>
      <c r="S4" s="125"/>
      <c r="T4" s="125"/>
    </row>
    <row r="5" spans="1:20" x14ac:dyDescent="0.3">
      <c r="A5" s="127" t="s">
        <v>141</v>
      </c>
      <c r="B5" s="125"/>
      <c r="C5" s="125"/>
      <c r="D5" s="125"/>
      <c r="E5" s="125"/>
      <c r="F5" s="125"/>
      <c r="N5" s="125"/>
      <c r="O5" s="125"/>
      <c r="P5" s="125"/>
      <c r="Q5" s="125"/>
      <c r="R5" s="125"/>
      <c r="S5" s="125"/>
      <c r="T5" s="125"/>
    </row>
    <row r="6" spans="1:20" x14ac:dyDescent="0.3">
      <c r="A6" s="127" t="s">
        <v>142</v>
      </c>
      <c r="B6" s="125"/>
      <c r="C6" s="125"/>
      <c r="D6" s="125"/>
      <c r="E6" s="125"/>
      <c r="F6" s="125"/>
      <c r="N6" s="125"/>
      <c r="O6" s="125"/>
      <c r="P6" s="125"/>
      <c r="Q6" s="125"/>
      <c r="R6" s="125"/>
      <c r="S6" s="125"/>
      <c r="T6" s="125"/>
    </row>
    <row r="7" spans="1:20" x14ac:dyDescent="0.3">
      <c r="A7" s="127" t="s">
        <v>355</v>
      </c>
      <c r="B7" s="125"/>
      <c r="C7" s="125"/>
      <c r="D7" s="125"/>
      <c r="E7" s="125"/>
      <c r="F7" s="125"/>
      <c r="N7" s="125"/>
      <c r="O7" s="125"/>
      <c r="P7" s="125"/>
      <c r="Q7" s="125"/>
      <c r="R7" s="125"/>
      <c r="S7" s="125"/>
      <c r="T7" s="125"/>
    </row>
    <row r="8" spans="1:20" x14ac:dyDescent="0.3">
      <c r="A8" s="128"/>
      <c r="B8" s="125"/>
      <c r="C8" s="125"/>
      <c r="D8" s="125"/>
      <c r="E8" s="125"/>
      <c r="F8" s="125"/>
      <c r="N8" s="171" t="s">
        <v>89</v>
      </c>
      <c r="O8" s="125"/>
      <c r="P8" s="125"/>
      <c r="Q8" s="125"/>
      <c r="R8" s="125"/>
      <c r="S8" s="125"/>
      <c r="T8" s="125"/>
    </row>
    <row r="9" spans="1:20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N9" s="86" t="s">
        <v>31</v>
      </c>
      <c r="O9" s="86" t="s">
        <v>32</v>
      </c>
      <c r="P9" s="86" t="s">
        <v>8</v>
      </c>
      <c r="Q9" s="86" t="s">
        <v>33</v>
      </c>
      <c r="R9" s="86" t="s">
        <v>10</v>
      </c>
      <c r="S9" s="86" t="s">
        <v>11</v>
      </c>
      <c r="T9" s="86" t="s">
        <v>12</v>
      </c>
    </row>
    <row r="10" spans="1:20" ht="15" thickBot="1" x14ac:dyDescent="0.35">
      <c r="A10" s="129"/>
      <c r="B10" s="129"/>
      <c r="C10" s="129" t="s">
        <v>28</v>
      </c>
      <c r="D10" s="129"/>
      <c r="E10" s="129"/>
      <c r="F10" s="129">
        <v>46.96</v>
      </c>
      <c r="N10" s="129">
        <v>5817</v>
      </c>
      <c r="O10" s="129" t="s">
        <v>90</v>
      </c>
      <c r="P10" s="129">
        <v>-50</v>
      </c>
      <c r="Q10" s="129">
        <v>50</v>
      </c>
      <c r="R10" s="129">
        <v>0</v>
      </c>
      <c r="S10" s="129">
        <v>0</v>
      </c>
      <c r="T10" s="129">
        <v>0</v>
      </c>
    </row>
    <row r="11" spans="1:20" ht="15" thickBot="1" x14ac:dyDescent="0.35">
      <c r="A11" s="129">
        <v>1444386</v>
      </c>
      <c r="B11" s="130">
        <v>45971</v>
      </c>
      <c r="C11" s="129" t="s">
        <v>345</v>
      </c>
      <c r="D11" s="129"/>
      <c r="E11" s="129">
        <v>50</v>
      </c>
      <c r="F11" s="129">
        <v>96.96</v>
      </c>
      <c r="N11" s="129">
        <v>5819</v>
      </c>
      <c r="O11" s="129" t="s">
        <v>91</v>
      </c>
      <c r="P11" s="129">
        <v>-50</v>
      </c>
      <c r="Q11" s="129">
        <v>50</v>
      </c>
      <c r="R11" s="129">
        <v>0</v>
      </c>
      <c r="S11" s="129">
        <v>50</v>
      </c>
      <c r="T11" s="129">
        <v>-50</v>
      </c>
    </row>
    <row r="12" spans="1:20" ht="15" thickBot="1" x14ac:dyDescent="0.35">
      <c r="A12" s="129">
        <v>1444389</v>
      </c>
      <c r="B12" s="130">
        <v>45971</v>
      </c>
      <c r="C12" s="129" t="s">
        <v>346</v>
      </c>
      <c r="D12" s="129">
        <v>7.51</v>
      </c>
      <c r="E12" s="129"/>
      <c r="F12" s="129">
        <v>89.45</v>
      </c>
      <c r="N12" s="129">
        <v>5820</v>
      </c>
      <c r="O12" s="129" t="s">
        <v>92</v>
      </c>
      <c r="P12" s="129">
        <v>0</v>
      </c>
      <c r="Q12" s="129">
        <v>50</v>
      </c>
      <c r="R12" s="129">
        <v>50</v>
      </c>
      <c r="S12" s="129">
        <v>50</v>
      </c>
      <c r="T12" s="129">
        <v>0</v>
      </c>
    </row>
    <row r="13" spans="1:20" ht="15" thickBot="1" x14ac:dyDescent="0.35">
      <c r="A13" s="129">
        <v>1445542</v>
      </c>
      <c r="B13" s="130">
        <v>45973</v>
      </c>
      <c r="C13" s="129" t="s">
        <v>347</v>
      </c>
      <c r="D13" s="129"/>
      <c r="E13" s="129">
        <v>200</v>
      </c>
      <c r="F13" s="129">
        <v>289.45</v>
      </c>
      <c r="N13" s="129">
        <v>5821</v>
      </c>
      <c r="O13" s="129" t="s">
        <v>93</v>
      </c>
      <c r="P13" s="129">
        <v>20</v>
      </c>
      <c r="Q13" s="129">
        <v>50</v>
      </c>
      <c r="R13" s="129">
        <v>70</v>
      </c>
      <c r="S13" s="129">
        <v>50</v>
      </c>
      <c r="T13" s="129">
        <v>20</v>
      </c>
    </row>
    <row r="14" spans="1:20" ht="15" thickBot="1" x14ac:dyDescent="0.35">
      <c r="A14" s="129">
        <v>1445545</v>
      </c>
      <c r="B14" s="130">
        <v>45973</v>
      </c>
      <c r="C14" s="129" t="s">
        <v>348</v>
      </c>
      <c r="D14" s="129">
        <v>30.02</v>
      </c>
      <c r="E14" s="129"/>
      <c r="F14" s="129">
        <v>259.43</v>
      </c>
      <c r="N14" s="129">
        <v>5822</v>
      </c>
      <c r="O14" s="129" t="s">
        <v>94</v>
      </c>
      <c r="P14" s="129">
        <v>0</v>
      </c>
      <c r="Q14" s="129">
        <v>50</v>
      </c>
      <c r="R14" s="129">
        <v>50</v>
      </c>
      <c r="S14" s="129">
        <v>0</v>
      </c>
      <c r="T14" s="129">
        <v>50</v>
      </c>
    </row>
    <row r="15" spans="1:20" ht="15" thickBot="1" x14ac:dyDescent="0.35">
      <c r="A15" s="129">
        <v>1445788</v>
      </c>
      <c r="B15" s="130">
        <v>45973</v>
      </c>
      <c r="C15" s="129" t="s">
        <v>349</v>
      </c>
      <c r="D15" s="129">
        <v>200</v>
      </c>
      <c r="E15" s="129"/>
      <c r="F15" s="129">
        <v>59.43</v>
      </c>
      <c r="N15" s="129">
        <v>5823</v>
      </c>
      <c r="O15" s="129" t="s">
        <v>95</v>
      </c>
      <c r="P15" s="129">
        <v>110</v>
      </c>
      <c r="Q15" s="129">
        <v>50</v>
      </c>
      <c r="R15" s="129">
        <v>160</v>
      </c>
      <c r="S15" s="129">
        <v>0</v>
      </c>
      <c r="T15" s="129">
        <v>160</v>
      </c>
    </row>
    <row r="16" spans="1:20" ht="15" thickBot="1" x14ac:dyDescent="0.35">
      <c r="A16" s="129">
        <v>1446048</v>
      </c>
      <c r="B16" s="130">
        <v>45974</v>
      </c>
      <c r="C16" s="129" t="s">
        <v>350</v>
      </c>
      <c r="D16" s="129"/>
      <c r="E16" s="129">
        <v>50</v>
      </c>
      <c r="F16" s="129">
        <v>109.43</v>
      </c>
      <c r="N16" s="129">
        <v>5824</v>
      </c>
      <c r="O16" s="129" t="s">
        <v>96</v>
      </c>
      <c r="P16" s="129">
        <v>-50</v>
      </c>
      <c r="Q16" s="129">
        <v>50</v>
      </c>
      <c r="R16" s="129">
        <v>0</v>
      </c>
      <c r="S16" s="129">
        <v>50</v>
      </c>
      <c r="T16" s="129">
        <v>-50</v>
      </c>
    </row>
    <row r="17" spans="1:21" ht="15" thickBot="1" x14ac:dyDescent="0.35">
      <c r="A17" s="129">
        <v>1446051</v>
      </c>
      <c r="B17" s="130">
        <v>45974</v>
      </c>
      <c r="C17" s="129" t="s">
        <v>351</v>
      </c>
      <c r="D17" s="129">
        <v>7.51</v>
      </c>
      <c r="E17" s="129"/>
      <c r="F17" s="129">
        <v>101.92</v>
      </c>
      <c r="N17" s="129">
        <v>5825</v>
      </c>
      <c r="O17" s="129" t="s">
        <v>97</v>
      </c>
      <c r="P17" s="129">
        <v>200</v>
      </c>
      <c r="Q17" s="129">
        <v>50</v>
      </c>
      <c r="R17" s="129">
        <v>250</v>
      </c>
      <c r="S17" s="129">
        <v>200</v>
      </c>
      <c r="T17" s="129">
        <v>50</v>
      </c>
    </row>
    <row r="18" spans="1:21" ht="15" thickBot="1" x14ac:dyDescent="0.35">
      <c r="A18" s="129">
        <v>1447653</v>
      </c>
      <c r="B18" s="130">
        <v>45980</v>
      </c>
      <c r="C18" s="129" t="s">
        <v>207</v>
      </c>
      <c r="D18" s="129">
        <v>50</v>
      </c>
      <c r="E18" s="129"/>
      <c r="F18" s="129">
        <v>51.92</v>
      </c>
      <c r="N18" s="129">
        <v>5826</v>
      </c>
      <c r="O18" s="129" t="s">
        <v>98</v>
      </c>
      <c r="P18" s="129">
        <v>50</v>
      </c>
      <c r="Q18" s="129">
        <v>50</v>
      </c>
      <c r="R18" s="129">
        <v>100</v>
      </c>
      <c r="S18" s="129">
        <v>0</v>
      </c>
      <c r="T18" s="129">
        <v>100</v>
      </c>
    </row>
    <row r="19" spans="1:21" ht="15" thickBot="1" x14ac:dyDescent="0.35">
      <c r="A19" s="129">
        <v>1448865</v>
      </c>
      <c r="B19" s="130">
        <v>45988</v>
      </c>
      <c r="C19" s="129" t="s">
        <v>250</v>
      </c>
      <c r="D19" s="129"/>
      <c r="E19" s="129">
        <v>50</v>
      </c>
      <c r="F19" s="129">
        <v>101.92</v>
      </c>
      <c r="N19" s="129">
        <v>5827</v>
      </c>
      <c r="O19" s="129" t="s">
        <v>99</v>
      </c>
      <c r="P19" s="129">
        <v>-50</v>
      </c>
      <c r="Q19" s="129">
        <v>50</v>
      </c>
      <c r="R19" s="129">
        <v>0</v>
      </c>
      <c r="S19" s="129">
        <v>0</v>
      </c>
      <c r="T19" s="129">
        <v>0</v>
      </c>
    </row>
    <row r="20" spans="1:21" ht="15" thickBot="1" x14ac:dyDescent="0.35">
      <c r="A20" s="129">
        <v>1448868</v>
      </c>
      <c r="B20" s="130">
        <v>45988</v>
      </c>
      <c r="C20" s="129" t="s">
        <v>251</v>
      </c>
      <c r="D20" s="129">
        <v>7.51</v>
      </c>
      <c r="E20" s="129"/>
      <c r="F20" s="129">
        <v>94.41</v>
      </c>
      <c r="N20" s="129">
        <v>5828</v>
      </c>
      <c r="O20" s="129" t="s">
        <v>100</v>
      </c>
      <c r="P20" s="129">
        <v>30</v>
      </c>
      <c r="Q20" s="129">
        <v>50</v>
      </c>
      <c r="R20" s="129">
        <v>80</v>
      </c>
      <c r="S20" s="129">
        <v>0</v>
      </c>
      <c r="T20" s="129">
        <v>80</v>
      </c>
    </row>
    <row r="21" spans="1:21" ht="15" thickBot="1" x14ac:dyDescent="0.35">
      <c r="A21" s="129">
        <v>1448872</v>
      </c>
      <c r="B21" s="130">
        <v>45988</v>
      </c>
      <c r="C21" s="129" t="s">
        <v>352</v>
      </c>
      <c r="D21" s="129"/>
      <c r="E21" s="129">
        <v>50</v>
      </c>
      <c r="F21" s="129">
        <v>144.41</v>
      </c>
      <c r="N21" s="169">
        <v>5829</v>
      </c>
      <c r="O21" s="169" t="s">
        <v>101</v>
      </c>
      <c r="P21" s="169">
        <v>0</v>
      </c>
      <c r="Q21" s="169">
        <v>50</v>
      </c>
      <c r="R21" s="169">
        <v>50</v>
      </c>
      <c r="S21" s="169">
        <v>0</v>
      </c>
      <c r="T21" s="169">
        <v>50</v>
      </c>
    </row>
    <row r="22" spans="1:21" ht="15" thickBot="1" x14ac:dyDescent="0.35">
      <c r="A22" s="129">
        <v>1448875</v>
      </c>
      <c r="B22" s="130">
        <v>45988</v>
      </c>
      <c r="C22" s="129" t="s">
        <v>353</v>
      </c>
      <c r="D22" s="129">
        <v>7.51</v>
      </c>
      <c r="E22" s="129"/>
      <c r="F22" s="129">
        <v>136.9</v>
      </c>
      <c r="N22" s="129">
        <v>5830</v>
      </c>
      <c r="O22" s="129" t="s">
        <v>102</v>
      </c>
      <c r="P22" s="129">
        <v>-50</v>
      </c>
      <c r="Q22" s="129">
        <v>50</v>
      </c>
      <c r="R22" s="129">
        <v>0</v>
      </c>
      <c r="S22" s="129">
        <v>50</v>
      </c>
      <c r="T22" s="129">
        <v>-50</v>
      </c>
    </row>
    <row r="23" spans="1:21" ht="15" thickBot="1" x14ac:dyDescent="0.35">
      <c r="A23" s="129">
        <v>1448879</v>
      </c>
      <c r="B23" s="130">
        <v>45988</v>
      </c>
      <c r="C23" s="129" t="s">
        <v>252</v>
      </c>
      <c r="D23" s="129"/>
      <c r="E23" s="129">
        <v>50</v>
      </c>
      <c r="F23" s="129">
        <v>186.9</v>
      </c>
      <c r="N23" s="129">
        <v>5831</v>
      </c>
      <c r="O23" s="129" t="s">
        <v>103</v>
      </c>
      <c r="P23" s="129">
        <v>-50</v>
      </c>
      <c r="Q23" s="129">
        <v>50</v>
      </c>
      <c r="R23" s="129">
        <v>0</v>
      </c>
      <c r="S23" s="129">
        <v>50</v>
      </c>
      <c r="T23" s="129">
        <v>-50</v>
      </c>
    </row>
    <row r="24" spans="1:21" ht="15" thickBot="1" x14ac:dyDescent="0.35">
      <c r="A24" s="129">
        <v>1448882</v>
      </c>
      <c r="B24" s="130">
        <v>45988</v>
      </c>
      <c r="C24" s="129" t="s">
        <v>253</v>
      </c>
      <c r="D24" s="129">
        <v>7.51</v>
      </c>
      <c r="E24" s="129"/>
      <c r="F24" s="129">
        <v>179.39</v>
      </c>
      <c r="N24" s="129">
        <v>5832</v>
      </c>
      <c r="O24" s="129" t="s">
        <v>104</v>
      </c>
      <c r="P24" s="129">
        <v>-50</v>
      </c>
      <c r="Q24" s="129">
        <v>50</v>
      </c>
      <c r="R24" s="129">
        <v>0</v>
      </c>
      <c r="S24" s="129">
        <v>50</v>
      </c>
      <c r="T24" s="129">
        <v>-50</v>
      </c>
    </row>
    <row r="25" spans="1:21" ht="15" thickBot="1" x14ac:dyDescent="0.35">
      <c r="A25" s="129">
        <v>1448886</v>
      </c>
      <c r="B25" s="130">
        <v>45988</v>
      </c>
      <c r="C25" s="129" t="s">
        <v>304</v>
      </c>
      <c r="D25" s="129"/>
      <c r="E25" s="129">
        <v>50</v>
      </c>
      <c r="F25" s="129">
        <v>229.39</v>
      </c>
      <c r="N25" s="129">
        <v>5833</v>
      </c>
      <c r="O25" s="129" t="s">
        <v>105</v>
      </c>
      <c r="P25" s="129">
        <v>-50</v>
      </c>
      <c r="Q25" s="129">
        <v>50</v>
      </c>
      <c r="R25" s="129">
        <v>0</v>
      </c>
      <c r="S25" s="129">
        <v>0</v>
      </c>
      <c r="T25" s="129">
        <v>0</v>
      </c>
    </row>
    <row r="26" spans="1:21" ht="15" thickBot="1" x14ac:dyDescent="0.35">
      <c r="A26" s="169">
        <v>1448889</v>
      </c>
      <c r="B26" s="170">
        <v>45988</v>
      </c>
      <c r="C26" s="169" t="s">
        <v>305</v>
      </c>
      <c r="D26" s="169">
        <v>7.51</v>
      </c>
      <c r="E26" s="169"/>
      <c r="F26" s="169">
        <v>221.88</v>
      </c>
      <c r="N26" s="129">
        <v>5834</v>
      </c>
      <c r="O26" s="129" t="s">
        <v>106</v>
      </c>
      <c r="P26" s="129">
        <v>-100</v>
      </c>
      <c r="Q26" s="129">
        <v>50</v>
      </c>
      <c r="R26" s="129">
        <v>-50</v>
      </c>
      <c r="S26" s="129">
        <v>0</v>
      </c>
      <c r="T26" s="129">
        <v>-50</v>
      </c>
    </row>
    <row r="27" spans="1:21" ht="15" thickBot="1" x14ac:dyDescent="0.35">
      <c r="A27" s="129">
        <v>1448893</v>
      </c>
      <c r="B27" s="130">
        <v>45988</v>
      </c>
      <c r="C27" s="129" t="s">
        <v>289</v>
      </c>
      <c r="D27" s="129"/>
      <c r="E27" s="129">
        <v>50</v>
      </c>
      <c r="F27" s="129">
        <v>271.88</v>
      </c>
      <c r="N27" s="129"/>
      <c r="O27" s="129"/>
      <c r="P27" s="172">
        <v>-90</v>
      </c>
      <c r="Q27" s="172">
        <v>850</v>
      </c>
      <c r="R27" s="172">
        <v>760</v>
      </c>
      <c r="S27" s="172">
        <v>550</v>
      </c>
      <c r="T27" s="172">
        <v>210</v>
      </c>
      <c r="U27">
        <f>T11+T16+T22+T23+T24+T26</f>
        <v>-300</v>
      </c>
    </row>
    <row r="28" spans="1:21" ht="15" thickBot="1" x14ac:dyDescent="0.35">
      <c r="A28" s="129">
        <v>1448896</v>
      </c>
      <c r="B28" s="130">
        <v>45988</v>
      </c>
      <c r="C28" s="129" t="s">
        <v>290</v>
      </c>
      <c r="D28" s="129">
        <v>7.51</v>
      </c>
      <c r="E28" s="129"/>
      <c r="F28" s="129">
        <v>264.37</v>
      </c>
      <c r="T28">
        <f>U27*-1</f>
        <v>300</v>
      </c>
    </row>
    <row r="29" spans="1:21" ht="15" thickBot="1" x14ac:dyDescent="0.35">
      <c r="A29" s="129">
        <v>1450900</v>
      </c>
      <c r="B29" s="130">
        <v>45989</v>
      </c>
      <c r="C29" s="129" t="s">
        <v>354</v>
      </c>
      <c r="D29" s="129">
        <v>60</v>
      </c>
      <c r="E29" s="129"/>
      <c r="F29" s="129">
        <v>204.37</v>
      </c>
      <c r="T29">
        <f>T27+T28</f>
        <v>510</v>
      </c>
    </row>
    <row r="30" spans="1:21" ht="15" thickBot="1" x14ac:dyDescent="0.35">
      <c r="A30" s="129">
        <v>1451086</v>
      </c>
      <c r="B30" s="130">
        <v>45989</v>
      </c>
      <c r="C30" s="129" t="s">
        <v>107</v>
      </c>
      <c r="D30" s="129">
        <v>543</v>
      </c>
      <c r="E30" s="129"/>
      <c r="F30" s="129">
        <v>-338.63</v>
      </c>
    </row>
    <row r="31" spans="1:21" x14ac:dyDescent="0.3">
      <c r="A31" s="129"/>
      <c r="B31" s="129"/>
      <c r="C31" s="129"/>
      <c r="D31" s="131">
        <v>935.59</v>
      </c>
      <c r="E31" s="131">
        <v>550</v>
      </c>
      <c r="F31" s="131">
        <v>-338.63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9125-AE07-4DCC-A87E-7DDB24ED4B24}">
  <dimension ref="A1:X67"/>
  <sheetViews>
    <sheetView topLeftCell="D53" workbookViewId="0">
      <selection activeCell="V27" sqref="V27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8.77734375" customWidth="1"/>
    <col min="4" max="6" width="9" bestFit="1" customWidth="1"/>
  </cols>
  <sheetData>
    <row r="1" spans="1:23" x14ac:dyDescent="0.3">
      <c r="A1" s="124" t="s">
        <v>20</v>
      </c>
      <c r="B1" s="125"/>
      <c r="C1" s="125"/>
      <c r="D1" s="125"/>
      <c r="E1" s="125"/>
      <c r="F1" s="125"/>
      <c r="I1" s="124" t="s">
        <v>20</v>
      </c>
      <c r="J1" s="125"/>
      <c r="K1" s="125"/>
      <c r="L1" s="125"/>
      <c r="M1" s="125"/>
      <c r="N1" s="125"/>
      <c r="Q1" s="124" t="s">
        <v>29</v>
      </c>
      <c r="R1" s="125"/>
      <c r="S1" s="125"/>
      <c r="T1" s="125"/>
      <c r="U1" s="125"/>
      <c r="V1" s="125"/>
      <c r="W1" s="125"/>
    </row>
    <row r="2" spans="1:23" x14ac:dyDescent="0.3">
      <c r="A2" s="125"/>
      <c r="B2" s="125"/>
      <c r="C2" s="125"/>
      <c r="D2" s="125"/>
      <c r="E2" s="125"/>
      <c r="F2" s="125"/>
      <c r="I2" s="125"/>
      <c r="J2" s="125"/>
      <c r="K2" s="125"/>
      <c r="L2" s="125"/>
      <c r="M2" s="125"/>
      <c r="N2" s="125"/>
      <c r="Q2" s="171" t="s">
        <v>87</v>
      </c>
      <c r="R2" s="125"/>
      <c r="S2" s="125"/>
      <c r="T2" s="125"/>
      <c r="U2" s="125"/>
      <c r="V2" s="125"/>
      <c r="W2" s="125"/>
    </row>
    <row r="3" spans="1:23" x14ac:dyDescent="0.3">
      <c r="A3" s="126" t="s">
        <v>140</v>
      </c>
      <c r="B3" s="125"/>
      <c r="C3" s="125"/>
      <c r="D3" s="125"/>
      <c r="E3" s="125"/>
      <c r="F3" s="125"/>
      <c r="I3" s="126" t="s">
        <v>140</v>
      </c>
      <c r="J3" s="125"/>
      <c r="K3" s="125"/>
      <c r="L3" s="125"/>
      <c r="M3" s="125"/>
      <c r="N3" s="125"/>
      <c r="Q3" s="171" t="s">
        <v>342</v>
      </c>
      <c r="R3" s="125"/>
      <c r="S3" s="125"/>
      <c r="T3" s="125"/>
      <c r="U3" s="125"/>
      <c r="V3" s="125"/>
      <c r="W3" s="125"/>
    </row>
    <row r="4" spans="1:23" x14ac:dyDescent="0.3">
      <c r="A4" s="125"/>
      <c r="B4" s="125"/>
      <c r="C4" s="125"/>
      <c r="D4" s="125"/>
      <c r="E4" s="125"/>
      <c r="F4" s="125"/>
      <c r="I4" s="125"/>
      <c r="J4" s="125"/>
      <c r="K4" s="125"/>
      <c r="L4" s="125"/>
      <c r="M4" s="125"/>
      <c r="N4" s="125"/>
      <c r="Q4" s="171" t="s">
        <v>30</v>
      </c>
      <c r="R4" s="125"/>
      <c r="S4" s="125"/>
      <c r="T4" s="125"/>
      <c r="U4" s="125"/>
      <c r="V4" s="125"/>
      <c r="W4" s="125"/>
    </row>
    <row r="5" spans="1:23" x14ac:dyDescent="0.3">
      <c r="A5" s="127" t="s">
        <v>141</v>
      </c>
      <c r="B5" s="125"/>
      <c r="C5" s="125"/>
      <c r="D5" s="125"/>
      <c r="E5" s="125"/>
      <c r="F5" s="125"/>
      <c r="I5" s="127" t="s">
        <v>316</v>
      </c>
      <c r="J5" s="125"/>
      <c r="K5" s="125"/>
      <c r="L5" s="125"/>
      <c r="M5" s="125"/>
      <c r="N5" s="125"/>
      <c r="Q5" s="125"/>
      <c r="R5" s="125"/>
      <c r="S5" s="125"/>
      <c r="T5" s="125"/>
      <c r="U5" s="125"/>
      <c r="V5" s="125"/>
      <c r="W5" s="125"/>
    </row>
    <row r="6" spans="1:23" x14ac:dyDescent="0.3">
      <c r="A6" s="127" t="s">
        <v>142</v>
      </c>
      <c r="B6" s="125"/>
      <c r="C6" s="125"/>
      <c r="D6" s="125"/>
      <c r="E6" s="125"/>
      <c r="F6" s="125"/>
      <c r="I6" s="127" t="s">
        <v>317</v>
      </c>
      <c r="J6" s="125"/>
      <c r="K6" s="125"/>
      <c r="L6" s="125"/>
      <c r="M6" s="125"/>
      <c r="N6" s="125"/>
      <c r="Q6" s="125"/>
      <c r="R6" s="125"/>
      <c r="S6" s="125"/>
      <c r="T6" s="125"/>
      <c r="U6" s="125"/>
      <c r="V6" s="125"/>
      <c r="W6" s="125"/>
    </row>
    <row r="7" spans="1:23" x14ac:dyDescent="0.3">
      <c r="A7" s="127" t="s">
        <v>341</v>
      </c>
      <c r="B7" s="125"/>
      <c r="C7" s="125"/>
      <c r="D7" s="125"/>
      <c r="E7" s="125"/>
      <c r="F7" s="125"/>
      <c r="I7" s="127" t="s">
        <v>341</v>
      </c>
      <c r="J7" s="125"/>
      <c r="K7" s="125"/>
      <c r="L7" s="125"/>
      <c r="M7" s="125"/>
      <c r="N7" s="125"/>
      <c r="Q7" s="125"/>
      <c r="R7" s="125"/>
      <c r="S7" s="125"/>
      <c r="T7" s="125"/>
      <c r="U7" s="125"/>
      <c r="V7" s="125"/>
      <c r="W7" s="125"/>
    </row>
    <row r="8" spans="1:23" x14ac:dyDescent="0.3">
      <c r="A8" s="128"/>
      <c r="B8" s="125"/>
      <c r="C8" s="125"/>
      <c r="D8" s="125"/>
      <c r="E8" s="125"/>
      <c r="F8" s="125"/>
      <c r="I8" s="128"/>
      <c r="J8" s="125"/>
      <c r="K8" s="125"/>
      <c r="L8" s="125"/>
      <c r="M8" s="125"/>
      <c r="N8" s="125"/>
      <c r="Q8" s="171" t="s">
        <v>89</v>
      </c>
      <c r="R8" s="125"/>
      <c r="S8" s="125"/>
      <c r="T8" s="125"/>
      <c r="U8" s="125"/>
      <c r="V8" s="125"/>
      <c r="W8" s="125"/>
    </row>
    <row r="9" spans="1:23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I9" s="79" t="s">
        <v>22</v>
      </c>
      <c r="J9" s="79" t="s">
        <v>23</v>
      </c>
      <c r="K9" s="79" t="s">
        <v>24</v>
      </c>
      <c r="L9" s="79" t="s">
        <v>25</v>
      </c>
      <c r="M9" s="79" t="s">
        <v>26</v>
      </c>
      <c r="N9" s="79" t="s">
        <v>27</v>
      </c>
      <c r="Q9" s="86" t="s">
        <v>31</v>
      </c>
      <c r="R9" s="86" t="s">
        <v>32</v>
      </c>
      <c r="S9" s="86" t="s">
        <v>8</v>
      </c>
      <c r="T9" s="86" t="s">
        <v>33</v>
      </c>
      <c r="U9" s="86" t="s">
        <v>10</v>
      </c>
      <c r="V9" s="86" t="s">
        <v>11</v>
      </c>
      <c r="W9" s="86" t="s">
        <v>12</v>
      </c>
    </row>
    <row r="10" spans="1:23" ht="15" thickBot="1" x14ac:dyDescent="0.35">
      <c r="A10" s="129"/>
      <c r="B10" s="129"/>
      <c r="C10" s="129" t="s">
        <v>28</v>
      </c>
      <c r="D10" s="129"/>
      <c r="E10" s="129"/>
      <c r="F10" s="129">
        <v>-358.6</v>
      </c>
      <c r="I10" s="129"/>
      <c r="J10" s="129"/>
      <c r="K10" s="129" t="s">
        <v>28</v>
      </c>
      <c r="L10" s="129"/>
      <c r="M10" s="129"/>
      <c r="N10" s="129">
        <v>0</v>
      </c>
      <c r="Q10" s="129">
        <v>5817</v>
      </c>
      <c r="R10" s="129" t="s">
        <v>90</v>
      </c>
      <c r="S10" s="129">
        <v>0</v>
      </c>
      <c r="T10" s="129">
        <v>50</v>
      </c>
      <c r="U10" s="129">
        <v>50</v>
      </c>
      <c r="V10" s="129">
        <v>100</v>
      </c>
      <c r="W10" s="129">
        <v>-50</v>
      </c>
    </row>
    <row r="11" spans="1:23" ht="15" thickBot="1" x14ac:dyDescent="0.35">
      <c r="A11" s="129">
        <v>1428579</v>
      </c>
      <c r="B11" s="130">
        <v>45931</v>
      </c>
      <c r="C11" s="129" t="s">
        <v>321</v>
      </c>
      <c r="D11" s="129"/>
      <c r="E11" s="129">
        <v>50</v>
      </c>
      <c r="F11" s="129">
        <v>-308.60000000000002</v>
      </c>
      <c r="I11" s="129"/>
      <c r="J11" s="129"/>
      <c r="K11" s="129"/>
      <c r="L11" s="131">
        <v>0</v>
      </c>
      <c r="M11" s="131">
        <v>0</v>
      </c>
      <c r="N11" s="131">
        <v>0</v>
      </c>
      <c r="Q11" s="129">
        <v>5819</v>
      </c>
      <c r="R11" s="129" t="s">
        <v>91</v>
      </c>
      <c r="S11" s="129">
        <v>0</v>
      </c>
      <c r="T11" s="129">
        <v>50</v>
      </c>
      <c r="U11" s="129">
        <v>50</v>
      </c>
      <c r="V11" s="129">
        <v>100</v>
      </c>
      <c r="W11" s="129">
        <v>-50</v>
      </c>
    </row>
    <row r="12" spans="1:23" ht="15" thickBot="1" x14ac:dyDescent="0.35">
      <c r="A12" s="129">
        <v>1428582</v>
      </c>
      <c r="B12" s="130">
        <v>45931</v>
      </c>
      <c r="C12" s="129" t="s">
        <v>322</v>
      </c>
      <c r="D12" s="129">
        <v>7.51</v>
      </c>
      <c r="E12" s="129"/>
      <c r="F12" s="129">
        <v>-316.11</v>
      </c>
      <c r="Q12" s="129">
        <v>5820</v>
      </c>
      <c r="R12" s="129" t="s">
        <v>92</v>
      </c>
      <c r="S12" s="129">
        <v>0</v>
      </c>
      <c r="T12" s="129">
        <v>50</v>
      </c>
      <c r="U12" s="129">
        <v>50</v>
      </c>
      <c r="V12" s="129">
        <v>50</v>
      </c>
      <c r="W12" s="129">
        <v>0</v>
      </c>
    </row>
    <row r="13" spans="1:23" ht="15" thickBot="1" x14ac:dyDescent="0.35">
      <c r="A13" s="129">
        <v>1430381</v>
      </c>
      <c r="B13" s="130">
        <v>45933</v>
      </c>
      <c r="C13" s="129" t="s">
        <v>258</v>
      </c>
      <c r="D13" s="129"/>
      <c r="E13" s="129">
        <v>50</v>
      </c>
      <c r="F13" s="129">
        <v>-266.11</v>
      </c>
      <c r="Q13" s="129">
        <v>5821</v>
      </c>
      <c r="R13" s="129" t="s">
        <v>93</v>
      </c>
      <c r="S13" s="129">
        <v>20</v>
      </c>
      <c r="T13" s="129">
        <v>50</v>
      </c>
      <c r="U13" s="129">
        <v>70</v>
      </c>
      <c r="V13" s="129">
        <v>50</v>
      </c>
      <c r="W13" s="129">
        <v>20</v>
      </c>
    </row>
    <row r="14" spans="1:23" ht="15" thickBot="1" x14ac:dyDescent="0.35">
      <c r="A14" s="129">
        <v>1430384</v>
      </c>
      <c r="B14" s="130">
        <v>45933</v>
      </c>
      <c r="C14" s="129" t="s">
        <v>259</v>
      </c>
      <c r="D14" s="129">
        <v>7.51</v>
      </c>
      <c r="E14" s="129"/>
      <c r="F14" s="129">
        <v>-273.62</v>
      </c>
      <c r="Q14" s="129">
        <v>5822</v>
      </c>
      <c r="R14" s="129" t="s">
        <v>94</v>
      </c>
      <c r="S14" s="129">
        <v>150</v>
      </c>
      <c r="T14" s="129">
        <v>50</v>
      </c>
      <c r="U14" s="129">
        <v>200</v>
      </c>
      <c r="V14" s="129">
        <v>200</v>
      </c>
      <c r="W14" s="129">
        <v>0</v>
      </c>
    </row>
    <row r="15" spans="1:23" ht="15" thickBot="1" x14ac:dyDescent="0.35">
      <c r="A15" s="129">
        <v>1430388</v>
      </c>
      <c r="B15" s="130">
        <v>45933</v>
      </c>
      <c r="C15" s="129" t="s">
        <v>254</v>
      </c>
      <c r="D15" s="129"/>
      <c r="E15" s="129">
        <v>50</v>
      </c>
      <c r="F15" s="129">
        <v>-223.62</v>
      </c>
      <c r="Q15" s="129">
        <v>5823</v>
      </c>
      <c r="R15" s="129" t="s">
        <v>95</v>
      </c>
      <c r="S15" s="129">
        <v>110</v>
      </c>
      <c r="T15" s="129">
        <v>50</v>
      </c>
      <c r="U15" s="129">
        <v>160</v>
      </c>
      <c r="V15" s="129">
        <v>50</v>
      </c>
      <c r="W15" s="129">
        <v>110</v>
      </c>
    </row>
    <row r="16" spans="1:23" ht="15" thickBot="1" x14ac:dyDescent="0.35">
      <c r="A16" s="129">
        <v>1430391</v>
      </c>
      <c r="B16" s="130">
        <v>45933</v>
      </c>
      <c r="C16" s="129" t="s">
        <v>255</v>
      </c>
      <c r="D16" s="129">
        <v>7.51</v>
      </c>
      <c r="E16" s="129"/>
      <c r="F16" s="129">
        <v>-231.13</v>
      </c>
      <c r="Q16" s="129">
        <v>5824</v>
      </c>
      <c r="R16" s="129" t="s">
        <v>96</v>
      </c>
      <c r="S16" s="129">
        <v>0</v>
      </c>
      <c r="T16" s="129">
        <v>50</v>
      </c>
      <c r="U16" s="129">
        <v>50</v>
      </c>
      <c r="V16" s="129">
        <v>100</v>
      </c>
      <c r="W16" s="129">
        <v>-50</v>
      </c>
    </row>
    <row r="17" spans="1:24" ht="15" thickBot="1" x14ac:dyDescent="0.35">
      <c r="A17" s="129">
        <v>1430395</v>
      </c>
      <c r="B17" s="130">
        <v>45933</v>
      </c>
      <c r="C17" s="129" t="s">
        <v>298</v>
      </c>
      <c r="D17" s="129"/>
      <c r="E17" s="129">
        <v>100</v>
      </c>
      <c r="F17" s="129">
        <v>-131.13</v>
      </c>
      <c r="Q17" s="129">
        <v>5825</v>
      </c>
      <c r="R17" s="129" t="s">
        <v>97</v>
      </c>
      <c r="S17" s="129">
        <v>150</v>
      </c>
      <c r="T17" s="129">
        <v>50</v>
      </c>
      <c r="U17" s="129">
        <v>200</v>
      </c>
      <c r="V17" s="129">
        <v>0</v>
      </c>
      <c r="W17" s="129">
        <v>200</v>
      </c>
    </row>
    <row r="18" spans="1:24" ht="15" thickBot="1" x14ac:dyDescent="0.35">
      <c r="A18" s="129">
        <v>1430398</v>
      </c>
      <c r="B18" s="130">
        <v>45933</v>
      </c>
      <c r="C18" s="129" t="s">
        <v>299</v>
      </c>
      <c r="D18" s="129">
        <v>15.01</v>
      </c>
      <c r="E18" s="129"/>
      <c r="F18" s="129">
        <v>-146.13999999999999</v>
      </c>
      <c r="Q18" s="129">
        <v>5826</v>
      </c>
      <c r="R18" s="129" t="s">
        <v>98</v>
      </c>
      <c r="S18" s="129">
        <v>100</v>
      </c>
      <c r="T18" s="129">
        <v>50</v>
      </c>
      <c r="U18" s="129">
        <v>150</v>
      </c>
      <c r="V18" s="129">
        <v>100</v>
      </c>
      <c r="W18" s="129">
        <v>50</v>
      </c>
    </row>
    <row r="19" spans="1:24" ht="15" thickBot="1" x14ac:dyDescent="0.35">
      <c r="A19" s="129">
        <v>1430402</v>
      </c>
      <c r="B19" s="130">
        <v>45933</v>
      </c>
      <c r="C19" s="129" t="s">
        <v>256</v>
      </c>
      <c r="D19" s="129"/>
      <c r="E19" s="129">
        <v>50</v>
      </c>
      <c r="F19" s="129">
        <v>-96.14</v>
      </c>
      <c r="Q19" s="129">
        <v>5827</v>
      </c>
      <c r="R19" s="129" t="s">
        <v>99</v>
      </c>
      <c r="S19" s="129">
        <v>50</v>
      </c>
      <c r="T19" s="129">
        <v>50</v>
      </c>
      <c r="U19" s="129">
        <v>100</v>
      </c>
      <c r="V19" s="129">
        <v>150</v>
      </c>
      <c r="W19" s="129">
        <v>-50</v>
      </c>
    </row>
    <row r="20" spans="1:24" ht="15" thickBot="1" x14ac:dyDescent="0.35">
      <c r="A20" s="129">
        <v>1430405</v>
      </c>
      <c r="B20" s="130">
        <v>45933</v>
      </c>
      <c r="C20" s="129" t="s">
        <v>257</v>
      </c>
      <c r="D20" s="129">
        <v>7.51</v>
      </c>
      <c r="E20" s="129"/>
      <c r="F20" s="129">
        <v>-103.65</v>
      </c>
      <c r="Q20" s="129">
        <v>5828</v>
      </c>
      <c r="R20" s="129" t="s">
        <v>100</v>
      </c>
      <c r="S20" s="129">
        <v>0</v>
      </c>
      <c r="T20" s="129">
        <v>50</v>
      </c>
      <c r="U20" s="129">
        <v>50</v>
      </c>
      <c r="V20" s="129">
        <v>20</v>
      </c>
      <c r="W20" s="129">
        <v>30</v>
      </c>
    </row>
    <row r="21" spans="1:24" ht="15" thickBot="1" x14ac:dyDescent="0.35">
      <c r="A21" s="129">
        <v>1430409</v>
      </c>
      <c r="B21" s="130">
        <v>45933</v>
      </c>
      <c r="C21" s="129" t="s">
        <v>300</v>
      </c>
      <c r="D21" s="129"/>
      <c r="E21" s="129">
        <v>50</v>
      </c>
      <c r="F21" s="129">
        <v>-53.65</v>
      </c>
      <c r="Q21" s="169">
        <v>5829</v>
      </c>
      <c r="R21" s="169" t="s">
        <v>101</v>
      </c>
      <c r="S21" s="169">
        <v>-50</v>
      </c>
      <c r="T21" s="169">
        <v>50</v>
      </c>
      <c r="U21" s="169">
        <v>0</v>
      </c>
      <c r="V21" s="169">
        <v>0</v>
      </c>
      <c r="W21" s="169">
        <v>0</v>
      </c>
    </row>
    <row r="22" spans="1:24" ht="15" thickBot="1" x14ac:dyDescent="0.35">
      <c r="A22" s="129">
        <v>1430412</v>
      </c>
      <c r="B22" s="130">
        <v>45933</v>
      </c>
      <c r="C22" s="129" t="s">
        <v>301</v>
      </c>
      <c r="D22" s="129">
        <v>7.51</v>
      </c>
      <c r="E22" s="129"/>
      <c r="F22" s="129">
        <v>-61.16</v>
      </c>
      <c r="Q22" s="129">
        <v>5830</v>
      </c>
      <c r="R22" s="129" t="s">
        <v>102</v>
      </c>
      <c r="S22" s="129">
        <v>0</v>
      </c>
      <c r="T22" s="129">
        <v>50</v>
      </c>
      <c r="U22" s="129">
        <v>50</v>
      </c>
      <c r="V22" s="129">
        <v>100</v>
      </c>
      <c r="W22" s="129">
        <v>-50</v>
      </c>
    </row>
    <row r="23" spans="1:24" ht="15" thickBot="1" x14ac:dyDescent="0.35">
      <c r="A23" s="129">
        <v>1430416</v>
      </c>
      <c r="B23" s="130">
        <v>45933</v>
      </c>
      <c r="C23" s="129" t="s">
        <v>323</v>
      </c>
      <c r="D23" s="129"/>
      <c r="E23" s="129">
        <v>50</v>
      </c>
      <c r="F23" s="129">
        <v>-11.16</v>
      </c>
      <c r="Q23" s="129">
        <v>5831</v>
      </c>
      <c r="R23" s="129" t="s">
        <v>103</v>
      </c>
      <c r="S23" s="129">
        <v>0</v>
      </c>
      <c r="T23" s="129">
        <v>50</v>
      </c>
      <c r="U23" s="129">
        <v>50</v>
      </c>
      <c r="V23" s="129">
        <v>100</v>
      </c>
      <c r="W23" s="129">
        <v>-50</v>
      </c>
    </row>
    <row r="24" spans="1:24" ht="15" thickBot="1" x14ac:dyDescent="0.35">
      <c r="A24" s="129">
        <v>1430419</v>
      </c>
      <c r="B24" s="130">
        <v>45933</v>
      </c>
      <c r="C24" s="129" t="s">
        <v>324</v>
      </c>
      <c r="D24" s="129">
        <v>7.51</v>
      </c>
      <c r="E24" s="129"/>
      <c r="F24" s="129">
        <v>-18.670000000000002</v>
      </c>
      <c r="Q24" s="129">
        <v>5832</v>
      </c>
      <c r="R24" s="129" t="s">
        <v>104</v>
      </c>
      <c r="S24" s="129">
        <v>0</v>
      </c>
      <c r="T24" s="129">
        <v>50</v>
      </c>
      <c r="U24" s="129">
        <v>50</v>
      </c>
      <c r="V24" s="129">
        <v>100</v>
      </c>
      <c r="W24" s="129">
        <v>-50</v>
      </c>
    </row>
    <row r="25" spans="1:24" ht="15" thickBot="1" x14ac:dyDescent="0.35">
      <c r="A25" s="129">
        <v>1430423</v>
      </c>
      <c r="B25" s="130">
        <v>45933</v>
      </c>
      <c r="C25" s="129" t="s">
        <v>262</v>
      </c>
      <c r="D25" s="129"/>
      <c r="E25" s="129">
        <v>50</v>
      </c>
      <c r="F25" s="129">
        <v>31.33</v>
      </c>
      <c r="Q25" s="129">
        <v>5833</v>
      </c>
      <c r="R25" s="129" t="s">
        <v>105</v>
      </c>
      <c r="S25" s="129">
        <v>0</v>
      </c>
      <c r="T25" s="129">
        <v>50</v>
      </c>
      <c r="U25" s="129">
        <v>50</v>
      </c>
      <c r="V25" s="129">
        <v>100</v>
      </c>
      <c r="W25" s="129">
        <v>-50</v>
      </c>
    </row>
    <row r="26" spans="1:24" ht="15" thickBot="1" x14ac:dyDescent="0.35">
      <c r="A26" s="129">
        <v>1430426</v>
      </c>
      <c r="B26" s="130">
        <v>45933</v>
      </c>
      <c r="C26" s="129" t="s">
        <v>263</v>
      </c>
      <c r="D26" s="129">
        <v>7.51</v>
      </c>
      <c r="E26" s="129"/>
      <c r="F26" s="129">
        <v>23.82</v>
      </c>
      <c r="Q26" s="129">
        <v>5834</v>
      </c>
      <c r="R26" s="129" t="s">
        <v>106</v>
      </c>
      <c r="S26" s="129">
        <v>0</v>
      </c>
      <c r="T26" s="129">
        <v>50</v>
      </c>
      <c r="U26" s="129">
        <v>50</v>
      </c>
      <c r="V26" s="129">
        <v>150</v>
      </c>
      <c r="W26" s="129">
        <v>-100</v>
      </c>
    </row>
    <row r="27" spans="1:24" ht="15" thickBot="1" x14ac:dyDescent="0.35">
      <c r="A27" s="129">
        <v>1430430</v>
      </c>
      <c r="B27" s="130">
        <v>45933</v>
      </c>
      <c r="C27" s="129" t="s">
        <v>260</v>
      </c>
      <c r="D27" s="129"/>
      <c r="E27" s="129">
        <v>50</v>
      </c>
      <c r="F27" s="129">
        <v>73.819999999999993</v>
      </c>
      <c r="Q27" s="129"/>
      <c r="R27" s="129"/>
      <c r="S27" s="172">
        <v>530</v>
      </c>
      <c r="T27" s="172">
        <v>850</v>
      </c>
      <c r="U27" s="172">
        <v>1380</v>
      </c>
      <c r="V27" s="172">
        <v>1470</v>
      </c>
      <c r="W27" s="172">
        <v>-90</v>
      </c>
    </row>
    <row r="28" spans="1:24" ht="15" thickBot="1" x14ac:dyDescent="0.35">
      <c r="A28" s="129">
        <v>1430433</v>
      </c>
      <c r="B28" s="130">
        <v>45933</v>
      </c>
      <c r="C28" s="129" t="s">
        <v>261</v>
      </c>
      <c r="D28" s="129">
        <v>7.51</v>
      </c>
      <c r="E28" s="129"/>
      <c r="F28" s="129">
        <v>66.31</v>
      </c>
      <c r="W28">
        <f>W10+W11+W16+W19+W22+W23+W24+W25+W26</f>
        <v>-500</v>
      </c>
      <c r="X28">
        <f>W28*-1</f>
        <v>500</v>
      </c>
    </row>
    <row r="29" spans="1:24" ht="15" thickBot="1" x14ac:dyDescent="0.35">
      <c r="A29" s="129">
        <v>1430437</v>
      </c>
      <c r="B29" s="130">
        <v>45933</v>
      </c>
      <c r="C29" s="129" t="s">
        <v>325</v>
      </c>
      <c r="D29" s="129"/>
      <c r="E29" s="129">
        <v>100</v>
      </c>
      <c r="F29" s="129">
        <v>166.31</v>
      </c>
      <c r="W29">
        <f>W27+X28</f>
        <v>410</v>
      </c>
    </row>
    <row r="30" spans="1:24" ht="15" thickBot="1" x14ac:dyDescent="0.35">
      <c r="A30" s="129">
        <v>1430440</v>
      </c>
      <c r="B30" s="130">
        <v>45933</v>
      </c>
      <c r="C30" s="129" t="s">
        <v>326</v>
      </c>
      <c r="D30" s="129">
        <v>15.01</v>
      </c>
      <c r="E30" s="129"/>
      <c r="F30" s="129">
        <v>151.30000000000001</v>
      </c>
    </row>
    <row r="31" spans="1:24" ht="15" thickBot="1" x14ac:dyDescent="0.35">
      <c r="A31" s="129">
        <v>1430444</v>
      </c>
      <c r="B31" s="130">
        <v>45933</v>
      </c>
      <c r="C31" s="129" t="s">
        <v>266</v>
      </c>
      <c r="D31" s="129"/>
      <c r="E31" s="129">
        <v>50</v>
      </c>
      <c r="F31" s="129">
        <v>201.3</v>
      </c>
    </row>
    <row r="32" spans="1:24" ht="15" thickBot="1" x14ac:dyDescent="0.35">
      <c r="A32" s="129">
        <v>1430447</v>
      </c>
      <c r="B32" s="130">
        <v>45933</v>
      </c>
      <c r="C32" s="129" t="s">
        <v>267</v>
      </c>
      <c r="D32" s="129">
        <v>7.51</v>
      </c>
      <c r="E32" s="129"/>
      <c r="F32" s="129">
        <v>193.79</v>
      </c>
    </row>
    <row r="33" spans="1:6" ht="15" thickBot="1" x14ac:dyDescent="0.35">
      <c r="A33" s="129">
        <v>1430884</v>
      </c>
      <c r="B33" s="130">
        <v>45936</v>
      </c>
      <c r="C33" s="129" t="s">
        <v>327</v>
      </c>
      <c r="D33" s="129"/>
      <c r="E33" s="129">
        <v>50</v>
      </c>
      <c r="F33" s="129">
        <v>243.79</v>
      </c>
    </row>
    <row r="34" spans="1:6" ht="15" thickBot="1" x14ac:dyDescent="0.35">
      <c r="A34" s="129">
        <v>1430887</v>
      </c>
      <c r="B34" s="130">
        <v>45936</v>
      </c>
      <c r="C34" s="129" t="s">
        <v>328</v>
      </c>
      <c r="D34" s="129">
        <v>7.51</v>
      </c>
      <c r="E34" s="129"/>
      <c r="F34" s="129">
        <v>236.28</v>
      </c>
    </row>
    <row r="35" spans="1:6" ht="15" thickBot="1" x14ac:dyDescent="0.35">
      <c r="A35" s="129">
        <v>1432843</v>
      </c>
      <c r="B35" s="130">
        <v>45938</v>
      </c>
      <c r="C35" s="129" t="s">
        <v>329</v>
      </c>
      <c r="D35" s="129"/>
      <c r="E35" s="129">
        <v>50</v>
      </c>
      <c r="F35" s="129">
        <v>286.27999999999997</v>
      </c>
    </row>
    <row r="36" spans="1:6" ht="15" thickBot="1" x14ac:dyDescent="0.35">
      <c r="A36" s="129">
        <v>1432846</v>
      </c>
      <c r="B36" s="130">
        <v>45938</v>
      </c>
      <c r="C36" s="129" t="s">
        <v>330</v>
      </c>
      <c r="D36" s="129">
        <v>7.51</v>
      </c>
      <c r="E36" s="129"/>
      <c r="F36" s="129">
        <v>278.77</v>
      </c>
    </row>
    <row r="37" spans="1:6" ht="15" thickBot="1" x14ac:dyDescent="0.35">
      <c r="A37" s="129">
        <v>1432988</v>
      </c>
      <c r="B37" s="130">
        <v>45938</v>
      </c>
      <c r="C37" s="129" t="s">
        <v>136</v>
      </c>
      <c r="D37" s="129">
        <v>138</v>
      </c>
      <c r="E37" s="129"/>
      <c r="F37" s="129">
        <v>140.77000000000001</v>
      </c>
    </row>
    <row r="38" spans="1:6" ht="15" thickBot="1" x14ac:dyDescent="0.35">
      <c r="A38" s="129">
        <v>1433802</v>
      </c>
      <c r="B38" s="130">
        <v>45939</v>
      </c>
      <c r="C38" s="129" t="s">
        <v>331</v>
      </c>
      <c r="D38" s="129">
        <v>50</v>
      </c>
      <c r="E38" s="129"/>
      <c r="F38" s="129">
        <v>90.77</v>
      </c>
    </row>
    <row r="39" spans="1:6" ht="15" thickBot="1" x14ac:dyDescent="0.35">
      <c r="A39" s="129">
        <v>1433918</v>
      </c>
      <c r="B39" s="130">
        <v>45940</v>
      </c>
      <c r="C39" s="129" t="s">
        <v>332</v>
      </c>
      <c r="D39" s="129"/>
      <c r="E39" s="129">
        <v>20</v>
      </c>
      <c r="F39" s="129">
        <v>110.77</v>
      </c>
    </row>
    <row r="40" spans="1:6" ht="15" thickBot="1" x14ac:dyDescent="0.35">
      <c r="A40" s="129">
        <v>1433921</v>
      </c>
      <c r="B40" s="130">
        <v>45940</v>
      </c>
      <c r="C40" s="129" t="s">
        <v>333</v>
      </c>
      <c r="D40" s="129">
        <v>3</v>
      </c>
      <c r="E40" s="129"/>
      <c r="F40" s="129">
        <v>107.77</v>
      </c>
    </row>
    <row r="41" spans="1:6" ht="15" thickBot="1" x14ac:dyDescent="0.35">
      <c r="A41" s="129">
        <v>1434286</v>
      </c>
      <c r="B41" s="130">
        <v>45940</v>
      </c>
      <c r="C41" s="129" t="s">
        <v>334</v>
      </c>
      <c r="D41" s="129">
        <v>20</v>
      </c>
      <c r="E41" s="129"/>
      <c r="F41" s="129">
        <v>87.77</v>
      </c>
    </row>
    <row r="42" spans="1:6" ht="15" thickBot="1" x14ac:dyDescent="0.35">
      <c r="A42" s="129">
        <v>1434618</v>
      </c>
      <c r="B42" s="130">
        <v>45943</v>
      </c>
      <c r="C42" s="129" t="s">
        <v>335</v>
      </c>
      <c r="D42" s="129">
        <v>90</v>
      </c>
      <c r="E42" s="129"/>
      <c r="F42" s="129">
        <v>-2.23</v>
      </c>
    </row>
    <row r="43" spans="1:6" ht="15" thickBot="1" x14ac:dyDescent="0.35">
      <c r="A43" s="129">
        <v>1434620</v>
      </c>
      <c r="B43" s="130">
        <v>45943</v>
      </c>
      <c r="C43" s="129" t="s">
        <v>336</v>
      </c>
      <c r="D43" s="129">
        <v>2.7</v>
      </c>
      <c r="E43" s="129"/>
      <c r="F43" s="129">
        <v>-4.93</v>
      </c>
    </row>
    <row r="44" spans="1:6" ht="15" thickBot="1" x14ac:dyDescent="0.35">
      <c r="A44" s="129">
        <v>1435054</v>
      </c>
      <c r="B44" s="130">
        <v>45944</v>
      </c>
      <c r="C44" s="129" t="s">
        <v>337</v>
      </c>
      <c r="D44" s="129"/>
      <c r="E44" s="129">
        <v>100</v>
      </c>
      <c r="F44" s="129">
        <v>95.07</v>
      </c>
    </row>
    <row r="45" spans="1:6" ht="15" thickBot="1" x14ac:dyDescent="0.35">
      <c r="A45" s="129">
        <v>1435057</v>
      </c>
      <c r="B45" s="130">
        <v>45944</v>
      </c>
      <c r="C45" s="129" t="s">
        <v>338</v>
      </c>
      <c r="D45" s="129">
        <v>15.01</v>
      </c>
      <c r="E45" s="129"/>
      <c r="F45" s="129">
        <v>80.06</v>
      </c>
    </row>
    <row r="46" spans="1:6" ht="15" thickBot="1" x14ac:dyDescent="0.35">
      <c r="A46" s="129">
        <v>1437490</v>
      </c>
      <c r="B46" s="130">
        <v>45958</v>
      </c>
      <c r="C46" s="129" t="s">
        <v>339</v>
      </c>
      <c r="D46" s="129"/>
      <c r="E46" s="129">
        <v>50</v>
      </c>
      <c r="F46" s="129">
        <v>130.06</v>
      </c>
    </row>
    <row r="47" spans="1:6" ht="15" thickBot="1" x14ac:dyDescent="0.35">
      <c r="A47" s="129">
        <v>1437493</v>
      </c>
      <c r="B47" s="130">
        <v>45958</v>
      </c>
      <c r="C47" s="129" t="s">
        <v>340</v>
      </c>
      <c r="D47" s="129">
        <v>7.51</v>
      </c>
      <c r="E47" s="129"/>
      <c r="F47" s="129">
        <v>122.55</v>
      </c>
    </row>
    <row r="48" spans="1:6" ht="15" thickBot="1" x14ac:dyDescent="0.35">
      <c r="A48" s="129">
        <v>1437590</v>
      </c>
      <c r="B48" s="130">
        <v>45958</v>
      </c>
      <c r="C48" s="129" t="s">
        <v>298</v>
      </c>
      <c r="D48" s="129"/>
      <c r="E48" s="129">
        <v>50</v>
      </c>
      <c r="F48" s="129">
        <v>172.55</v>
      </c>
    </row>
    <row r="49" spans="1:6" ht="15" thickBot="1" x14ac:dyDescent="0.35">
      <c r="A49" s="129">
        <v>1437593</v>
      </c>
      <c r="B49" s="130">
        <v>45958</v>
      </c>
      <c r="C49" s="129" t="s">
        <v>299</v>
      </c>
      <c r="D49" s="129">
        <v>7.51</v>
      </c>
      <c r="E49" s="129"/>
      <c r="F49" s="129">
        <v>165.04</v>
      </c>
    </row>
    <row r="50" spans="1:6" ht="15" thickBot="1" x14ac:dyDescent="0.35">
      <c r="A50" s="129">
        <v>1437597</v>
      </c>
      <c r="B50" s="130">
        <v>45958</v>
      </c>
      <c r="C50" s="129" t="s">
        <v>256</v>
      </c>
      <c r="D50" s="129"/>
      <c r="E50" s="129">
        <v>100</v>
      </c>
      <c r="F50" s="129">
        <v>265.04000000000002</v>
      </c>
    </row>
    <row r="51" spans="1:6" ht="15" thickBot="1" x14ac:dyDescent="0.35">
      <c r="A51" s="129">
        <v>1437600</v>
      </c>
      <c r="B51" s="130">
        <v>45958</v>
      </c>
      <c r="C51" s="129" t="s">
        <v>257</v>
      </c>
      <c r="D51" s="129">
        <v>15.01</v>
      </c>
      <c r="E51" s="129"/>
      <c r="F51" s="129">
        <v>250.03</v>
      </c>
    </row>
    <row r="52" spans="1:6" ht="15" thickBot="1" x14ac:dyDescent="0.35">
      <c r="A52" s="129">
        <v>1437604</v>
      </c>
      <c r="B52" s="130">
        <v>45958</v>
      </c>
      <c r="C52" s="129" t="s">
        <v>254</v>
      </c>
      <c r="D52" s="129"/>
      <c r="E52" s="129">
        <v>50</v>
      </c>
      <c r="F52" s="129">
        <v>300.02999999999997</v>
      </c>
    </row>
    <row r="53" spans="1:6" ht="15" thickBot="1" x14ac:dyDescent="0.35">
      <c r="A53" s="129">
        <v>1437607</v>
      </c>
      <c r="B53" s="130">
        <v>45958</v>
      </c>
      <c r="C53" s="129" t="s">
        <v>255</v>
      </c>
      <c r="D53" s="129">
        <v>7.51</v>
      </c>
      <c r="E53" s="129"/>
      <c r="F53" s="129">
        <v>292.52</v>
      </c>
    </row>
    <row r="54" spans="1:6" ht="15" thickBot="1" x14ac:dyDescent="0.35">
      <c r="A54" s="129">
        <v>1437611</v>
      </c>
      <c r="B54" s="130">
        <v>45958</v>
      </c>
      <c r="C54" s="129" t="s">
        <v>300</v>
      </c>
      <c r="D54" s="129"/>
      <c r="E54" s="129">
        <v>50</v>
      </c>
      <c r="F54" s="129">
        <v>342.52</v>
      </c>
    </row>
    <row r="55" spans="1:6" ht="15" thickBot="1" x14ac:dyDescent="0.35">
      <c r="A55" s="129">
        <v>1437614</v>
      </c>
      <c r="B55" s="130">
        <v>45958</v>
      </c>
      <c r="C55" s="129" t="s">
        <v>301</v>
      </c>
      <c r="D55" s="129">
        <v>7.51</v>
      </c>
      <c r="E55" s="129"/>
      <c r="F55" s="129">
        <v>335.01</v>
      </c>
    </row>
    <row r="56" spans="1:6" ht="15" thickBot="1" x14ac:dyDescent="0.35">
      <c r="A56" s="129">
        <v>1437646</v>
      </c>
      <c r="B56" s="130">
        <v>45958</v>
      </c>
      <c r="C56" s="129" t="s">
        <v>323</v>
      </c>
      <c r="D56" s="129"/>
      <c r="E56" s="129">
        <v>50</v>
      </c>
      <c r="F56" s="129">
        <v>385.01</v>
      </c>
    </row>
    <row r="57" spans="1:6" ht="15" thickBot="1" x14ac:dyDescent="0.35">
      <c r="A57" s="129">
        <v>1437649</v>
      </c>
      <c r="B57" s="130">
        <v>45958</v>
      </c>
      <c r="C57" s="129" t="s">
        <v>324</v>
      </c>
      <c r="D57" s="129">
        <v>7.51</v>
      </c>
      <c r="E57" s="129"/>
      <c r="F57" s="129">
        <v>377.5</v>
      </c>
    </row>
    <row r="58" spans="1:6" ht="15" thickBot="1" x14ac:dyDescent="0.35">
      <c r="A58" s="129">
        <v>1437653</v>
      </c>
      <c r="B58" s="130">
        <v>45958</v>
      </c>
      <c r="C58" s="129" t="s">
        <v>325</v>
      </c>
      <c r="D58" s="129"/>
      <c r="E58" s="129">
        <v>100</v>
      </c>
      <c r="F58" s="129">
        <v>477.5</v>
      </c>
    </row>
    <row r="59" spans="1:6" ht="15" thickBot="1" x14ac:dyDescent="0.35">
      <c r="A59" s="129">
        <v>1437656</v>
      </c>
      <c r="B59" s="130">
        <v>45958</v>
      </c>
      <c r="C59" s="129" t="s">
        <v>326</v>
      </c>
      <c r="D59" s="129">
        <v>15.01</v>
      </c>
      <c r="E59" s="129"/>
      <c r="F59" s="129">
        <v>462.49</v>
      </c>
    </row>
    <row r="60" spans="1:6" ht="15" thickBot="1" x14ac:dyDescent="0.35">
      <c r="A60" s="129">
        <v>1437660</v>
      </c>
      <c r="B60" s="130">
        <v>45958</v>
      </c>
      <c r="C60" s="129" t="s">
        <v>262</v>
      </c>
      <c r="D60" s="129"/>
      <c r="E60" s="129">
        <v>50</v>
      </c>
      <c r="F60" s="129">
        <v>512.49</v>
      </c>
    </row>
    <row r="61" spans="1:6" ht="15" thickBot="1" x14ac:dyDescent="0.35">
      <c r="A61" s="169">
        <v>1437663</v>
      </c>
      <c r="B61" s="170">
        <v>45958</v>
      </c>
      <c r="C61" s="169" t="s">
        <v>263</v>
      </c>
      <c r="D61" s="169">
        <v>7.51</v>
      </c>
      <c r="E61" s="169"/>
      <c r="F61" s="169">
        <v>504.98</v>
      </c>
    </row>
    <row r="62" spans="1:6" ht="15" thickBot="1" x14ac:dyDescent="0.35">
      <c r="A62" s="129">
        <v>1437667</v>
      </c>
      <c r="B62" s="130">
        <v>45958</v>
      </c>
      <c r="C62" s="129" t="s">
        <v>266</v>
      </c>
      <c r="D62" s="129"/>
      <c r="E62" s="129">
        <v>50</v>
      </c>
      <c r="F62" s="129">
        <v>554.98</v>
      </c>
    </row>
    <row r="63" spans="1:6" ht="15" thickBot="1" x14ac:dyDescent="0.35">
      <c r="A63" s="129">
        <v>1437670</v>
      </c>
      <c r="B63" s="130">
        <v>45958</v>
      </c>
      <c r="C63" s="129" t="s">
        <v>267</v>
      </c>
      <c r="D63" s="129">
        <v>7.51</v>
      </c>
      <c r="E63" s="129"/>
      <c r="F63" s="129">
        <v>547.47</v>
      </c>
    </row>
    <row r="64" spans="1:6" ht="15" thickBot="1" x14ac:dyDescent="0.35">
      <c r="A64" s="129">
        <v>1438302</v>
      </c>
      <c r="B64" s="130">
        <v>45961</v>
      </c>
      <c r="C64" s="129" t="s">
        <v>258</v>
      </c>
      <c r="D64" s="129"/>
      <c r="E64" s="129">
        <v>50</v>
      </c>
      <c r="F64" s="129">
        <v>597.47</v>
      </c>
    </row>
    <row r="65" spans="1:6" ht="15" thickBot="1" x14ac:dyDescent="0.35">
      <c r="A65" s="129">
        <v>1438305</v>
      </c>
      <c r="B65" s="130">
        <v>45961</v>
      </c>
      <c r="C65" s="129" t="s">
        <v>259</v>
      </c>
      <c r="D65" s="129">
        <v>7.51</v>
      </c>
      <c r="E65" s="129"/>
      <c r="F65" s="129">
        <v>589.96</v>
      </c>
    </row>
    <row r="66" spans="1:6" ht="15" thickBot="1" x14ac:dyDescent="0.35">
      <c r="A66" s="129">
        <v>1438878</v>
      </c>
      <c r="B66" s="130">
        <v>45961</v>
      </c>
      <c r="C66" s="129" t="s">
        <v>79</v>
      </c>
      <c r="D66" s="129">
        <v>543</v>
      </c>
      <c r="E66" s="129"/>
      <c r="F66" s="129">
        <v>46.96</v>
      </c>
    </row>
    <row r="67" spans="1:6" x14ac:dyDescent="0.3">
      <c r="A67" s="129"/>
      <c r="B67" s="129"/>
      <c r="C67" s="129"/>
      <c r="D67" s="131">
        <v>1064.44</v>
      </c>
      <c r="E67" s="131">
        <v>1470</v>
      </c>
      <c r="F67" s="131">
        <v>46.96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88B9-1AE5-4BE5-A593-25B1A36790BB}">
  <dimension ref="A1:X44"/>
  <sheetViews>
    <sheetView topLeftCell="A25" workbookViewId="0">
      <selection activeCell="I35" sqref="I3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4.5546875" customWidth="1"/>
    <col min="4" max="6" width="9" bestFit="1" customWidth="1"/>
  </cols>
  <sheetData>
    <row r="1" spans="1:24" x14ac:dyDescent="0.3">
      <c r="A1" s="124" t="s">
        <v>20</v>
      </c>
      <c r="B1" s="125"/>
      <c r="C1" s="125"/>
      <c r="D1" s="125"/>
      <c r="E1" s="125"/>
      <c r="F1" s="125"/>
      <c r="J1" s="124" t="s">
        <v>20</v>
      </c>
      <c r="K1" s="125"/>
      <c r="L1" s="125"/>
      <c r="M1" s="125"/>
      <c r="N1" s="125"/>
      <c r="O1" s="125"/>
      <c r="R1" s="124" t="s">
        <v>29</v>
      </c>
      <c r="S1" s="125"/>
      <c r="T1" s="125"/>
      <c r="U1" s="125"/>
      <c r="V1" s="125"/>
      <c r="W1" s="125"/>
      <c r="X1" s="125"/>
    </row>
    <row r="2" spans="1:24" x14ac:dyDescent="0.3">
      <c r="A2" s="125"/>
      <c r="B2" s="125"/>
      <c r="C2" s="125"/>
      <c r="D2" s="125"/>
      <c r="E2" s="125"/>
      <c r="F2" s="125"/>
      <c r="J2" s="125"/>
      <c r="K2" s="125"/>
      <c r="L2" s="125"/>
      <c r="M2" s="125"/>
      <c r="N2" s="125"/>
      <c r="O2" s="125"/>
      <c r="R2" s="171" t="s">
        <v>87</v>
      </c>
      <c r="S2" s="125"/>
      <c r="T2" s="125"/>
      <c r="U2" s="125"/>
      <c r="V2" s="125"/>
      <c r="W2" s="125"/>
      <c r="X2" s="125"/>
    </row>
    <row r="3" spans="1:24" x14ac:dyDescent="0.3">
      <c r="A3" s="126" t="s">
        <v>140</v>
      </c>
      <c r="B3" s="125"/>
      <c r="C3" s="125"/>
      <c r="D3" s="125"/>
      <c r="E3" s="125"/>
      <c r="F3" s="125"/>
      <c r="J3" s="126" t="s">
        <v>140</v>
      </c>
      <c r="K3" s="125"/>
      <c r="L3" s="125"/>
      <c r="M3" s="125"/>
      <c r="N3" s="125"/>
      <c r="O3" s="125"/>
      <c r="R3" s="171" t="s">
        <v>318</v>
      </c>
      <c r="S3" s="125"/>
      <c r="T3" s="125"/>
      <c r="U3" s="125"/>
      <c r="V3" s="125"/>
      <c r="W3" s="125"/>
      <c r="X3" s="125"/>
    </row>
    <row r="4" spans="1:24" x14ac:dyDescent="0.3">
      <c r="A4" s="125"/>
      <c r="B4" s="125"/>
      <c r="C4" s="125"/>
      <c r="D4" s="125"/>
      <c r="E4" s="125"/>
      <c r="F4" s="125"/>
      <c r="J4" s="125"/>
      <c r="K4" s="125"/>
      <c r="L4" s="125"/>
      <c r="M4" s="125"/>
      <c r="N4" s="125"/>
      <c r="O4" s="125"/>
      <c r="R4" s="171" t="s">
        <v>30</v>
      </c>
      <c r="S4" s="125"/>
      <c r="T4" s="125"/>
      <c r="U4" s="125"/>
      <c r="V4" s="125"/>
      <c r="W4" s="125"/>
      <c r="X4" s="125"/>
    </row>
    <row r="5" spans="1:24" x14ac:dyDescent="0.3">
      <c r="A5" s="127" t="s">
        <v>141</v>
      </c>
      <c r="B5" s="125"/>
      <c r="C5" s="125"/>
      <c r="D5" s="125"/>
      <c r="E5" s="125"/>
      <c r="F5" s="125"/>
      <c r="J5" s="127" t="s">
        <v>316</v>
      </c>
      <c r="K5" s="125"/>
      <c r="L5" s="125"/>
      <c r="M5" s="125"/>
      <c r="N5" s="125"/>
      <c r="O5" s="125"/>
      <c r="R5" s="125"/>
      <c r="S5" s="125"/>
      <c r="T5" s="125"/>
      <c r="U5" s="125"/>
      <c r="V5" s="125"/>
      <c r="W5" s="125"/>
      <c r="X5" s="125"/>
    </row>
    <row r="6" spans="1:24" x14ac:dyDescent="0.3">
      <c r="A6" s="127" t="s">
        <v>142</v>
      </c>
      <c r="B6" s="125"/>
      <c r="C6" s="125"/>
      <c r="D6" s="125"/>
      <c r="E6" s="125"/>
      <c r="F6" s="125"/>
      <c r="J6" s="127" t="s">
        <v>317</v>
      </c>
      <c r="K6" s="125"/>
      <c r="L6" s="125"/>
      <c r="M6" s="125"/>
      <c r="N6" s="125"/>
      <c r="O6" s="125"/>
      <c r="R6" s="125"/>
      <c r="S6" s="125"/>
      <c r="T6" s="125"/>
      <c r="U6" s="125"/>
      <c r="V6" s="125"/>
      <c r="W6" s="125"/>
      <c r="X6" s="125"/>
    </row>
    <row r="7" spans="1:24" x14ac:dyDescent="0.3">
      <c r="A7" s="127" t="s">
        <v>315</v>
      </c>
      <c r="B7" s="125"/>
      <c r="C7" s="125"/>
      <c r="D7" s="125"/>
      <c r="E7" s="125"/>
      <c r="F7" s="125"/>
      <c r="J7" s="127" t="s">
        <v>315</v>
      </c>
      <c r="K7" s="125"/>
      <c r="L7" s="125"/>
      <c r="M7" s="125"/>
      <c r="N7" s="125"/>
      <c r="O7" s="125"/>
      <c r="R7" s="125"/>
      <c r="S7" s="125"/>
      <c r="T7" s="125"/>
      <c r="U7" s="125"/>
      <c r="V7" s="125"/>
      <c r="W7" s="125"/>
      <c r="X7" s="125"/>
    </row>
    <row r="8" spans="1:24" x14ac:dyDescent="0.3">
      <c r="A8" s="128"/>
      <c r="B8" s="125"/>
      <c r="C8" s="125"/>
      <c r="D8" s="125"/>
      <c r="E8" s="125"/>
      <c r="F8" s="125"/>
      <c r="J8" s="128"/>
      <c r="K8" s="125"/>
      <c r="L8" s="125"/>
      <c r="M8" s="125"/>
      <c r="N8" s="125"/>
      <c r="O8" s="125"/>
      <c r="R8" s="171" t="s">
        <v>89</v>
      </c>
      <c r="S8" s="125"/>
      <c r="T8" s="125"/>
      <c r="U8" s="125"/>
      <c r="V8" s="125"/>
      <c r="W8" s="125"/>
      <c r="X8" s="125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129"/>
      <c r="B10" s="129"/>
      <c r="C10" s="129" t="s">
        <v>28</v>
      </c>
      <c r="D10" s="129"/>
      <c r="E10" s="129"/>
      <c r="F10" s="129">
        <v>-352.95</v>
      </c>
      <c r="J10" s="129"/>
      <c r="K10" s="129"/>
      <c r="L10" s="129" t="s">
        <v>28</v>
      </c>
      <c r="M10" s="129"/>
      <c r="N10" s="129"/>
      <c r="O10" s="129">
        <v>0</v>
      </c>
      <c r="R10" s="129">
        <v>5817</v>
      </c>
      <c r="S10" s="129" t="s">
        <v>90</v>
      </c>
      <c r="T10" s="129">
        <v>0</v>
      </c>
      <c r="U10" s="129">
        <v>50</v>
      </c>
      <c r="V10" s="129">
        <v>50</v>
      </c>
      <c r="W10" s="129">
        <v>50</v>
      </c>
      <c r="X10" s="129">
        <v>0</v>
      </c>
    </row>
    <row r="11" spans="1:24" ht="15" thickBot="1" x14ac:dyDescent="0.35">
      <c r="A11" s="129">
        <v>1415193</v>
      </c>
      <c r="B11" s="130">
        <v>45902</v>
      </c>
      <c r="C11" s="129" t="s">
        <v>281</v>
      </c>
      <c r="D11" s="129"/>
      <c r="E11" s="129">
        <v>50</v>
      </c>
      <c r="F11" s="129">
        <v>-302.95</v>
      </c>
      <c r="J11" s="129"/>
      <c r="K11" s="129"/>
      <c r="L11" s="129"/>
      <c r="M11" s="131">
        <v>0</v>
      </c>
      <c r="N11" s="131">
        <v>0</v>
      </c>
      <c r="O11" s="131">
        <v>0</v>
      </c>
      <c r="R11" s="129">
        <v>5819</v>
      </c>
      <c r="S11" s="129" t="s">
        <v>91</v>
      </c>
      <c r="T11" s="129">
        <v>0</v>
      </c>
      <c r="U11" s="129">
        <v>50</v>
      </c>
      <c r="V11" s="129">
        <v>50</v>
      </c>
      <c r="W11" s="129">
        <v>50</v>
      </c>
      <c r="X11" s="129">
        <v>0</v>
      </c>
    </row>
    <row r="12" spans="1:24" ht="15" thickBot="1" x14ac:dyDescent="0.35">
      <c r="A12" s="129">
        <v>1415196</v>
      </c>
      <c r="B12" s="130">
        <v>45902</v>
      </c>
      <c r="C12" s="129" t="s">
        <v>282</v>
      </c>
      <c r="D12" s="129">
        <v>7.51</v>
      </c>
      <c r="E12" s="129"/>
      <c r="F12" s="129">
        <v>-310.45999999999998</v>
      </c>
      <c r="R12" s="129">
        <v>5820</v>
      </c>
      <c r="S12" s="129" t="s">
        <v>92</v>
      </c>
      <c r="T12" s="129">
        <v>0</v>
      </c>
      <c r="U12" s="129">
        <v>50</v>
      </c>
      <c r="V12" s="129">
        <v>50</v>
      </c>
      <c r="W12" s="129">
        <v>50</v>
      </c>
      <c r="X12" s="129">
        <v>0</v>
      </c>
    </row>
    <row r="13" spans="1:24" ht="15" thickBot="1" x14ac:dyDescent="0.35">
      <c r="A13" s="129">
        <v>1415200</v>
      </c>
      <c r="B13" s="130">
        <v>45902</v>
      </c>
      <c r="C13" s="129" t="s">
        <v>256</v>
      </c>
      <c r="D13" s="129"/>
      <c r="E13" s="129">
        <v>50</v>
      </c>
      <c r="F13" s="129">
        <v>-260.45999999999998</v>
      </c>
      <c r="R13" s="129">
        <v>5821</v>
      </c>
      <c r="S13" s="129" t="s">
        <v>93</v>
      </c>
      <c r="T13" s="129">
        <v>20</v>
      </c>
      <c r="U13" s="129">
        <v>50</v>
      </c>
      <c r="V13" s="129">
        <v>70</v>
      </c>
      <c r="W13" s="129">
        <v>50</v>
      </c>
      <c r="X13" s="129">
        <v>20</v>
      </c>
    </row>
    <row r="14" spans="1:24" ht="15" thickBot="1" x14ac:dyDescent="0.35">
      <c r="A14" s="129">
        <v>1415203</v>
      </c>
      <c r="B14" s="130">
        <v>45902</v>
      </c>
      <c r="C14" s="129" t="s">
        <v>257</v>
      </c>
      <c r="D14" s="129">
        <v>7.51</v>
      </c>
      <c r="E14" s="129"/>
      <c r="F14" s="129">
        <v>-267.97000000000003</v>
      </c>
      <c r="R14" s="129">
        <v>5822</v>
      </c>
      <c r="S14" s="129" t="s">
        <v>94</v>
      </c>
      <c r="T14" s="129">
        <v>100</v>
      </c>
      <c r="U14" s="129">
        <v>50</v>
      </c>
      <c r="V14" s="129">
        <v>150</v>
      </c>
      <c r="W14" s="129">
        <v>0</v>
      </c>
      <c r="X14" s="129">
        <v>150</v>
      </c>
    </row>
    <row r="15" spans="1:24" ht="15" thickBot="1" x14ac:dyDescent="0.35">
      <c r="A15" s="129">
        <v>1415207</v>
      </c>
      <c r="B15" s="130">
        <v>45902</v>
      </c>
      <c r="C15" s="129" t="s">
        <v>298</v>
      </c>
      <c r="D15" s="129"/>
      <c r="E15" s="129">
        <v>50</v>
      </c>
      <c r="F15" s="129">
        <v>-217.97</v>
      </c>
      <c r="R15" s="129">
        <v>5823</v>
      </c>
      <c r="S15" s="129" t="s">
        <v>95</v>
      </c>
      <c r="T15" s="129">
        <v>110</v>
      </c>
      <c r="U15" s="129">
        <v>50</v>
      </c>
      <c r="V15" s="129">
        <v>160</v>
      </c>
      <c r="W15" s="129">
        <v>50</v>
      </c>
      <c r="X15" s="129">
        <v>110</v>
      </c>
    </row>
    <row r="16" spans="1:24" ht="15" thickBot="1" x14ac:dyDescent="0.35">
      <c r="A16" s="129">
        <v>1415210</v>
      </c>
      <c r="B16" s="130">
        <v>45902</v>
      </c>
      <c r="C16" s="129" t="s">
        <v>299</v>
      </c>
      <c r="D16" s="129">
        <v>7.51</v>
      </c>
      <c r="E16" s="129"/>
      <c r="F16" s="129">
        <v>-225.48</v>
      </c>
      <c r="R16" s="129">
        <v>5824</v>
      </c>
      <c r="S16" s="129" t="s">
        <v>96</v>
      </c>
      <c r="T16" s="129">
        <v>0</v>
      </c>
      <c r="U16" s="129">
        <v>50</v>
      </c>
      <c r="V16" s="129">
        <v>50</v>
      </c>
      <c r="W16" s="129">
        <v>50</v>
      </c>
      <c r="X16" s="129">
        <v>0</v>
      </c>
    </row>
    <row r="17" spans="1:24" ht="15" thickBot="1" x14ac:dyDescent="0.35">
      <c r="A17" s="129">
        <v>1415214</v>
      </c>
      <c r="B17" s="130">
        <v>45902</v>
      </c>
      <c r="C17" s="129" t="s">
        <v>254</v>
      </c>
      <c r="D17" s="129"/>
      <c r="E17" s="129">
        <v>50</v>
      </c>
      <c r="F17" s="129">
        <v>-175.48</v>
      </c>
      <c r="R17" s="129">
        <v>5825</v>
      </c>
      <c r="S17" s="129" t="s">
        <v>97</v>
      </c>
      <c r="T17" s="129">
        <v>100</v>
      </c>
      <c r="U17" s="129">
        <v>50</v>
      </c>
      <c r="V17" s="129">
        <v>150</v>
      </c>
      <c r="W17" s="129">
        <v>0</v>
      </c>
      <c r="X17" s="129">
        <v>150</v>
      </c>
    </row>
    <row r="18" spans="1:24" ht="15" thickBot="1" x14ac:dyDescent="0.35">
      <c r="A18" s="129">
        <v>1415217</v>
      </c>
      <c r="B18" s="130">
        <v>45902</v>
      </c>
      <c r="C18" s="129" t="s">
        <v>255</v>
      </c>
      <c r="D18" s="129">
        <v>7.51</v>
      </c>
      <c r="E18" s="129"/>
      <c r="F18" s="129">
        <v>-182.99</v>
      </c>
      <c r="R18" s="129">
        <v>5826</v>
      </c>
      <c r="S18" s="129" t="s">
        <v>98</v>
      </c>
      <c r="T18" s="129">
        <v>50</v>
      </c>
      <c r="U18" s="129">
        <v>50</v>
      </c>
      <c r="V18" s="129">
        <v>100</v>
      </c>
      <c r="W18" s="129">
        <v>0</v>
      </c>
      <c r="X18" s="129">
        <v>100</v>
      </c>
    </row>
    <row r="19" spans="1:24" ht="15" thickBot="1" x14ac:dyDescent="0.35">
      <c r="A19" s="129">
        <v>1415221</v>
      </c>
      <c r="B19" s="130">
        <v>45902</v>
      </c>
      <c r="C19" s="129" t="s">
        <v>283</v>
      </c>
      <c r="D19" s="129"/>
      <c r="E19" s="129">
        <v>50</v>
      </c>
      <c r="F19" s="129">
        <v>-132.99</v>
      </c>
      <c r="R19" s="169">
        <v>5827</v>
      </c>
      <c r="S19" s="169" t="s">
        <v>99</v>
      </c>
      <c r="T19" s="169">
        <v>50</v>
      </c>
      <c r="U19" s="169">
        <v>50</v>
      </c>
      <c r="V19" s="169">
        <v>100</v>
      </c>
      <c r="W19" s="169">
        <v>50</v>
      </c>
      <c r="X19" s="169">
        <v>50</v>
      </c>
    </row>
    <row r="20" spans="1:24" ht="15" thickBot="1" x14ac:dyDescent="0.35">
      <c r="A20" s="129">
        <v>1415224</v>
      </c>
      <c r="B20" s="130">
        <v>45902</v>
      </c>
      <c r="C20" s="129" t="s">
        <v>284</v>
      </c>
      <c r="D20" s="129">
        <v>7.51</v>
      </c>
      <c r="E20" s="129"/>
      <c r="F20" s="129">
        <v>-140.5</v>
      </c>
      <c r="R20" s="129">
        <v>5828</v>
      </c>
      <c r="S20" s="129" t="s">
        <v>100</v>
      </c>
      <c r="T20" s="129">
        <v>0</v>
      </c>
      <c r="U20" s="129">
        <v>50</v>
      </c>
      <c r="V20" s="129">
        <v>50</v>
      </c>
      <c r="W20" s="129">
        <v>50</v>
      </c>
      <c r="X20" s="129">
        <v>0</v>
      </c>
    </row>
    <row r="21" spans="1:24" ht="15" thickBot="1" x14ac:dyDescent="0.35">
      <c r="A21" s="129">
        <v>1415228</v>
      </c>
      <c r="B21" s="130">
        <v>45902</v>
      </c>
      <c r="C21" s="129" t="s">
        <v>300</v>
      </c>
      <c r="D21" s="129"/>
      <c r="E21" s="129">
        <v>50</v>
      </c>
      <c r="F21" s="129">
        <v>-90.5</v>
      </c>
      <c r="R21" s="129">
        <v>5829</v>
      </c>
      <c r="S21" s="129" t="s">
        <v>101</v>
      </c>
      <c r="T21" s="129">
        <v>0</v>
      </c>
      <c r="U21" s="129">
        <v>50</v>
      </c>
      <c r="V21" s="129">
        <v>50</v>
      </c>
      <c r="W21" s="129">
        <v>100</v>
      </c>
      <c r="X21" s="129">
        <v>-50</v>
      </c>
    </row>
    <row r="22" spans="1:24" ht="15" thickBot="1" x14ac:dyDescent="0.35">
      <c r="A22" s="129">
        <v>1415231</v>
      </c>
      <c r="B22" s="130">
        <v>45902</v>
      </c>
      <c r="C22" s="129" t="s">
        <v>301</v>
      </c>
      <c r="D22" s="129">
        <v>7.51</v>
      </c>
      <c r="E22" s="129"/>
      <c r="F22" s="129">
        <v>-98.01</v>
      </c>
      <c r="R22" s="129">
        <v>5830</v>
      </c>
      <c r="S22" s="129" t="s">
        <v>102</v>
      </c>
      <c r="T22" s="129">
        <v>0</v>
      </c>
      <c r="U22" s="129">
        <v>50</v>
      </c>
      <c r="V22" s="129">
        <v>50</v>
      </c>
      <c r="W22" s="129">
        <v>50</v>
      </c>
      <c r="X22" s="129">
        <v>0</v>
      </c>
    </row>
    <row r="23" spans="1:24" ht="15" thickBot="1" x14ac:dyDescent="0.35">
      <c r="A23" s="129">
        <v>1415235</v>
      </c>
      <c r="B23" s="130">
        <v>45902</v>
      </c>
      <c r="C23" s="129" t="s">
        <v>250</v>
      </c>
      <c r="D23" s="129"/>
      <c r="E23" s="129">
        <v>50</v>
      </c>
      <c r="F23" s="129">
        <v>-48.01</v>
      </c>
      <c r="R23" s="129">
        <v>5831</v>
      </c>
      <c r="S23" s="129" t="s">
        <v>103</v>
      </c>
      <c r="T23" s="129">
        <v>0</v>
      </c>
      <c r="U23" s="129">
        <v>50</v>
      </c>
      <c r="V23" s="129">
        <v>50</v>
      </c>
      <c r="W23" s="129">
        <v>50</v>
      </c>
      <c r="X23" s="129">
        <v>0</v>
      </c>
    </row>
    <row r="24" spans="1:24" ht="15" thickBot="1" x14ac:dyDescent="0.35">
      <c r="A24" s="129">
        <v>1415238</v>
      </c>
      <c r="B24" s="130">
        <v>45902</v>
      </c>
      <c r="C24" s="129" t="s">
        <v>251</v>
      </c>
      <c r="D24" s="129">
        <v>7.51</v>
      </c>
      <c r="E24" s="129"/>
      <c r="F24" s="129">
        <v>-55.52</v>
      </c>
      <c r="R24" s="129">
        <v>5832</v>
      </c>
      <c r="S24" s="129" t="s">
        <v>104</v>
      </c>
      <c r="T24" s="129">
        <v>0</v>
      </c>
      <c r="U24" s="129">
        <v>50</v>
      </c>
      <c r="V24" s="129">
        <v>50</v>
      </c>
      <c r="W24" s="129">
        <v>50</v>
      </c>
      <c r="X24" s="129">
        <v>0</v>
      </c>
    </row>
    <row r="25" spans="1:24" ht="15" thickBot="1" x14ac:dyDescent="0.35">
      <c r="A25" s="129">
        <v>1415242</v>
      </c>
      <c r="B25" s="130">
        <v>45902</v>
      </c>
      <c r="C25" s="129" t="s">
        <v>258</v>
      </c>
      <c r="D25" s="129"/>
      <c r="E25" s="129">
        <v>50</v>
      </c>
      <c r="F25" s="129">
        <v>-5.52</v>
      </c>
      <c r="R25" s="129">
        <v>5833</v>
      </c>
      <c r="S25" s="129" t="s">
        <v>105</v>
      </c>
      <c r="T25" s="129">
        <v>0</v>
      </c>
      <c r="U25" s="129">
        <v>50</v>
      </c>
      <c r="V25" s="129">
        <v>50</v>
      </c>
      <c r="W25" s="129">
        <v>50</v>
      </c>
      <c r="X25" s="129">
        <v>0</v>
      </c>
    </row>
    <row r="26" spans="1:24" ht="15" thickBot="1" x14ac:dyDescent="0.35">
      <c r="A26" s="129">
        <v>1415245</v>
      </c>
      <c r="B26" s="130">
        <v>45902</v>
      </c>
      <c r="C26" s="129" t="s">
        <v>259</v>
      </c>
      <c r="D26" s="129">
        <v>7.51</v>
      </c>
      <c r="E26" s="129"/>
      <c r="F26" s="129">
        <v>-13.03</v>
      </c>
      <c r="R26" s="129">
        <v>5834</v>
      </c>
      <c r="S26" s="129" t="s">
        <v>106</v>
      </c>
      <c r="T26" s="129">
        <v>0</v>
      </c>
      <c r="U26" s="129">
        <v>50</v>
      </c>
      <c r="V26" s="129">
        <v>50</v>
      </c>
      <c r="W26" s="129">
        <v>50</v>
      </c>
      <c r="X26" s="129">
        <v>0</v>
      </c>
    </row>
    <row r="27" spans="1:24" ht="15" thickBot="1" x14ac:dyDescent="0.35">
      <c r="A27" s="129">
        <v>1415249</v>
      </c>
      <c r="B27" s="130">
        <v>45902</v>
      </c>
      <c r="C27" s="129" t="s">
        <v>302</v>
      </c>
      <c r="D27" s="129"/>
      <c r="E27" s="129">
        <v>50</v>
      </c>
      <c r="F27" s="129">
        <v>36.97</v>
      </c>
      <c r="R27" s="129"/>
      <c r="S27" s="129"/>
      <c r="T27" s="172">
        <v>430</v>
      </c>
      <c r="U27" s="172">
        <v>850</v>
      </c>
      <c r="V27" s="172">
        <v>1280</v>
      </c>
      <c r="W27" s="172">
        <v>750</v>
      </c>
      <c r="X27" s="172">
        <v>530</v>
      </c>
    </row>
    <row r="28" spans="1:24" ht="15" thickBot="1" x14ac:dyDescent="0.35">
      <c r="A28" s="129">
        <v>1415252</v>
      </c>
      <c r="B28" s="130">
        <v>45902</v>
      </c>
      <c r="C28" s="129" t="s">
        <v>303</v>
      </c>
      <c r="D28" s="129">
        <v>7.51</v>
      </c>
      <c r="E28" s="129"/>
      <c r="F28" s="129">
        <v>29.46</v>
      </c>
      <c r="X28">
        <f>X21*-1</f>
        <v>50</v>
      </c>
    </row>
    <row r="29" spans="1:24" ht="15" thickBot="1" x14ac:dyDescent="0.35">
      <c r="A29" s="129">
        <v>1415256</v>
      </c>
      <c r="B29" s="130">
        <v>45902</v>
      </c>
      <c r="C29" s="129" t="s">
        <v>266</v>
      </c>
      <c r="D29" s="129"/>
      <c r="E29" s="129">
        <v>50</v>
      </c>
      <c r="F29" s="129">
        <v>79.459999999999994</v>
      </c>
      <c r="X29">
        <f>X27+X28</f>
        <v>580</v>
      </c>
    </row>
    <row r="30" spans="1:24" ht="15" thickBot="1" x14ac:dyDescent="0.35">
      <c r="A30" s="129">
        <v>1415259</v>
      </c>
      <c r="B30" s="130">
        <v>45902</v>
      </c>
      <c r="C30" s="129" t="s">
        <v>267</v>
      </c>
      <c r="D30" s="129">
        <v>7.51</v>
      </c>
      <c r="E30" s="129"/>
      <c r="F30" s="129">
        <v>71.95</v>
      </c>
    </row>
    <row r="31" spans="1:24" ht="15" thickBot="1" x14ac:dyDescent="0.35">
      <c r="A31" s="129">
        <v>1415263</v>
      </c>
      <c r="B31" s="130">
        <v>45902</v>
      </c>
      <c r="C31" s="129" t="s">
        <v>304</v>
      </c>
      <c r="D31" s="129"/>
      <c r="E31" s="129">
        <v>50</v>
      </c>
      <c r="F31" s="129">
        <v>121.95</v>
      </c>
    </row>
    <row r="32" spans="1:24" ht="15" thickBot="1" x14ac:dyDescent="0.35">
      <c r="A32" s="129">
        <v>1415266</v>
      </c>
      <c r="B32" s="130">
        <v>45902</v>
      </c>
      <c r="C32" s="129" t="s">
        <v>305</v>
      </c>
      <c r="D32" s="129">
        <v>7.51</v>
      </c>
      <c r="E32" s="129"/>
      <c r="F32" s="129">
        <v>114.44</v>
      </c>
    </row>
    <row r="33" spans="1:6" ht="15" thickBot="1" x14ac:dyDescent="0.35">
      <c r="A33" s="129">
        <v>1415270</v>
      </c>
      <c r="B33" s="130">
        <v>45902</v>
      </c>
      <c r="C33" s="129" t="s">
        <v>283</v>
      </c>
      <c r="D33" s="129"/>
      <c r="E33" s="129">
        <v>50</v>
      </c>
      <c r="F33" s="129">
        <v>164.44</v>
      </c>
    </row>
    <row r="34" spans="1:6" ht="15" thickBot="1" x14ac:dyDescent="0.35">
      <c r="A34" s="129">
        <v>1415273</v>
      </c>
      <c r="B34" s="130">
        <v>45902</v>
      </c>
      <c r="C34" s="129" t="s">
        <v>284</v>
      </c>
      <c r="D34" s="129">
        <v>7.51</v>
      </c>
      <c r="E34" s="129"/>
      <c r="F34" s="129">
        <v>156.93</v>
      </c>
    </row>
    <row r="35" spans="1:6" ht="15" thickBot="1" x14ac:dyDescent="0.35">
      <c r="A35" s="129">
        <v>1417297</v>
      </c>
      <c r="B35" s="130">
        <v>45903</v>
      </c>
      <c r="C35" s="129" t="s">
        <v>306</v>
      </c>
      <c r="D35" s="129"/>
      <c r="E35" s="129">
        <v>50</v>
      </c>
      <c r="F35" s="129">
        <v>206.93</v>
      </c>
    </row>
    <row r="36" spans="1:6" ht="15" thickBot="1" x14ac:dyDescent="0.35">
      <c r="A36" s="129">
        <v>1417300</v>
      </c>
      <c r="B36" s="130">
        <v>45903</v>
      </c>
      <c r="C36" s="129" t="s">
        <v>307</v>
      </c>
      <c r="D36" s="129">
        <v>7.51</v>
      </c>
      <c r="E36" s="129"/>
      <c r="F36" s="129">
        <v>199.42</v>
      </c>
    </row>
    <row r="37" spans="1:6" ht="15" thickBot="1" x14ac:dyDescent="0.35">
      <c r="A37" s="129">
        <v>1423993</v>
      </c>
      <c r="B37" s="130">
        <v>45904</v>
      </c>
      <c r="C37" s="129" t="s">
        <v>308</v>
      </c>
      <c r="D37" s="129"/>
      <c r="E37" s="129">
        <v>50</v>
      </c>
      <c r="F37" s="129">
        <v>249.42</v>
      </c>
    </row>
    <row r="38" spans="1:6" ht="15" thickBot="1" x14ac:dyDescent="0.35">
      <c r="A38" s="129">
        <v>1423996</v>
      </c>
      <c r="B38" s="130">
        <v>45904</v>
      </c>
      <c r="C38" s="129" t="s">
        <v>309</v>
      </c>
      <c r="D38" s="129">
        <v>7.51</v>
      </c>
      <c r="E38" s="129"/>
      <c r="F38" s="129">
        <v>241.91</v>
      </c>
    </row>
    <row r="39" spans="1:6" ht="15" thickBot="1" x14ac:dyDescent="0.35">
      <c r="A39" s="129">
        <v>1424060</v>
      </c>
      <c r="B39" s="130">
        <v>45916</v>
      </c>
      <c r="C39" s="129" t="s">
        <v>310</v>
      </c>
      <c r="D39" s="129"/>
      <c r="E39" s="129">
        <v>50</v>
      </c>
      <c r="F39" s="129">
        <v>291.91000000000003</v>
      </c>
    </row>
    <row r="40" spans="1:6" ht="15" thickBot="1" x14ac:dyDescent="0.35">
      <c r="A40" s="129">
        <v>1424063</v>
      </c>
      <c r="B40" s="130">
        <v>45916</v>
      </c>
      <c r="C40" s="129" t="s">
        <v>311</v>
      </c>
      <c r="D40" s="129">
        <v>7.51</v>
      </c>
      <c r="E40" s="129"/>
      <c r="F40" s="129">
        <v>284.39999999999998</v>
      </c>
    </row>
    <row r="41" spans="1:6" ht="15" thickBot="1" x14ac:dyDescent="0.35">
      <c r="A41" s="169">
        <v>1424246</v>
      </c>
      <c r="B41" s="170">
        <v>45916</v>
      </c>
      <c r="C41" s="169" t="s">
        <v>312</v>
      </c>
      <c r="D41" s="169">
        <v>90</v>
      </c>
      <c r="E41" s="169"/>
      <c r="F41" s="169">
        <v>194.4</v>
      </c>
    </row>
    <row r="42" spans="1:6" ht="15" thickBot="1" x14ac:dyDescent="0.35">
      <c r="A42" s="129">
        <v>1425659</v>
      </c>
      <c r="B42" s="130">
        <v>45923</v>
      </c>
      <c r="C42" s="129" t="s">
        <v>313</v>
      </c>
      <c r="D42" s="129">
        <v>10</v>
      </c>
      <c r="E42" s="129"/>
      <c r="F42" s="129">
        <v>184.4</v>
      </c>
    </row>
    <row r="43" spans="1:6" ht="15" thickBot="1" x14ac:dyDescent="0.35">
      <c r="A43" s="129">
        <v>1428449</v>
      </c>
      <c r="B43" s="130">
        <v>45930</v>
      </c>
      <c r="C43" s="129" t="s">
        <v>314</v>
      </c>
      <c r="D43" s="129">
        <v>543</v>
      </c>
      <c r="E43" s="129"/>
      <c r="F43" s="129">
        <v>-358.6</v>
      </c>
    </row>
    <row r="44" spans="1:6" x14ac:dyDescent="0.3">
      <c r="A44" s="129"/>
      <c r="B44" s="129"/>
      <c r="C44" s="129"/>
      <c r="D44" s="131">
        <v>755.65</v>
      </c>
      <c r="E44" s="131">
        <v>750</v>
      </c>
      <c r="F44" s="131">
        <v>-358.6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D0A9-4BB2-4929-BD66-6E82D44D6161}">
  <dimension ref="A1:P36"/>
  <sheetViews>
    <sheetView topLeftCell="A16" workbookViewId="0">
      <selection activeCell="C35" sqref="C35"/>
    </sheetView>
  </sheetViews>
  <sheetFormatPr defaultRowHeight="14.4" x14ac:dyDescent="0.3"/>
  <cols>
    <col min="1" max="1" width="9.5546875" bestFit="1" customWidth="1"/>
    <col min="2" max="2" width="6.44140625" customWidth="1"/>
    <col min="3" max="3" width="14.77734375" customWidth="1"/>
    <col min="4" max="6" width="9" bestFit="1" customWidth="1"/>
  </cols>
  <sheetData>
    <row r="1" spans="1:16" x14ac:dyDescent="0.3">
      <c r="A1" s="124" t="s">
        <v>20</v>
      </c>
      <c r="B1" s="125"/>
      <c r="C1" s="125"/>
      <c r="D1" s="125"/>
      <c r="E1" s="125"/>
      <c r="F1" s="125"/>
      <c r="J1" s="124" t="s">
        <v>29</v>
      </c>
      <c r="K1" s="125"/>
      <c r="L1" s="125"/>
      <c r="M1" s="125"/>
      <c r="N1" s="125"/>
      <c r="O1" s="125"/>
      <c r="P1" s="125"/>
    </row>
    <row r="2" spans="1:16" x14ac:dyDescent="0.3">
      <c r="A2" s="125"/>
      <c r="B2" s="125"/>
      <c r="C2" s="125"/>
      <c r="D2" s="125"/>
      <c r="E2" s="125"/>
      <c r="F2" s="125"/>
      <c r="J2" s="171" t="s">
        <v>87</v>
      </c>
      <c r="K2" s="125"/>
      <c r="L2" s="125"/>
      <c r="M2" s="125"/>
      <c r="N2" s="125"/>
      <c r="O2" s="125"/>
      <c r="P2" s="125"/>
    </row>
    <row r="3" spans="1:16" x14ac:dyDescent="0.3">
      <c r="A3" s="126" t="s">
        <v>140</v>
      </c>
      <c r="B3" s="125"/>
      <c r="C3" s="125"/>
      <c r="D3" s="125"/>
      <c r="E3" s="125"/>
      <c r="F3" s="125"/>
      <c r="J3" s="171" t="s">
        <v>296</v>
      </c>
      <c r="K3" s="125"/>
      <c r="L3" s="125"/>
      <c r="M3" s="125"/>
      <c r="N3" s="125"/>
      <c r="O3" s="125"/>
      <c r="P3" s="125"/>
    </row>
    <row r="4" spans="1:16" x14ac:dyDescent="0.3">
      <c r="A4" s="125"/>
      <c r="B4" s="125"/>
      <c r="C4" s="125"/>
      <c r="D4" s="125"/>
      <c r="E4" s="125"/>
      <c r="F4" s="125"/>
      <c r="J4" s="171" t="s">
        <v>30</v>
      </c>
      <c r="K4" s="125"/>
      <c r="L4" s="125"/>
      <c r="M4" s="125"/>
      <c r="N4" s="125"/>
      <c r="O4" s="125"/>
      <c r="P4" s="125"/>
    </row>
    <row r="5" spans="1:16" x14ac:dyDescent="0.3">
      <c r="A5" s="127" t="s">
        <v>141</v>
      </c>
      <c r="B5" s="125"/>
      <c r="C5" s="125"/>
      <c r="D5" s="125"/>
      <c r="E5" s="125"/>
      <c r="F5" s="125"/>
      <c r="J5" s="125"/>
      <c r="K5" s="125"/>
      <c r="L5" s="125"/>
      <c r="M5" s="125"/>
      <c r="N5" s="125"/>
      <c r="O5" s="125"/>
      <c r="P5" s="125"/>
    </row>
    <row r="6" spans="1:16" x14ac:dyDescent="0.3">
      <c r="A6" s="127" t="s">
        <v>142</v>
      </c>
      <c r="B6" s="125"/>
      <c r="C6" s="125"/>
      <c r="D6" s="125"/>
      <c r="E6" s="125"/>
      <c r="F6" s="125"/>
      <c r="J6" s="125"/>
      <c r="K6" s="125"/>
      <c r="L6" s="125"/>
      <c r="M6" s="125"/>
      <c r="N6" s="125"/>
      <c r="O6" s="125"/>
      <c r="P6" s="125"/>
    </row>
    <row r="7" spans="1:16" x14ac:dyDescent="0.3">
      <c r="A7" s="127" t="s">
        <v>295</v>
      </c>
      <c r="B7" s="125"/>
      <c r="C7" s="125"/>
      <c r="D7" s="125"/>
      <c r="E7" s="125"/>
      <c r="F7" s="125"/>
      <c r="J7" s="125"/>
      <c r="K7" s="125"/>
      <c r="L7" s="125"/>
      <c r="M7" s="125"/>
      <c r="N7" s="125"/>
      <c r="O7" s="125"/>
      <c r="P7" s="125"/>
    </row>
    <row r="8" spans="1:16" x14ac:dyDescent="0.3">
      <c r="A8" s="128"/>
      <c r="B8" s="125"/>
      <c r="C8" s="125"/>
      <c r="D8" s="125"/>
      <c r="E8" s="125"/>
      <c r="F8" s="125"/>
      <c r="J8" s="171" t="s">
        <v>89</v>
      </c>
      <c r="K8" s="125"/>
      <c r="L8" s="125"/>
      <c r="M8" s="125"/>
      <c r="N8" s="125"/>
      <c r="O8" s="125"/>
      <c r="P8" s="12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29"/>
      <c r="B10" s="129"/>
      <c r="C10" s="129" t="s">
        <v>28</v>
      </c>
      <c r="D10" s="129"/>
      <c r="E10" s="129"/>
      <c r="F10" s="129">
        <v>-362.33</v>
      </c>
      <c r="J10" s="129">
        <v>5817</v>
      </c>
      <c r="K10" s="129" t="s">
        <v>90</v>
      </c>
      <c r="L10" s="129">
        <v>0</v>
      </c>
      <c r="M10" s="129">
        <v>50</v>
      </c>
      <c r="N10" s="129">
        <v>50</v>
      </c>
      <c r="O10" s="129">
        <v>50</v>
      </c>
      <c r="P10" s="129">
        <v>0</v>
      </c>
    </row>
    <row r="11" spans="1:16" ht="15" thickBot="1" x14ac:dyDescent="0.35">
      <c r="A11" s="129">
        <v>1406793</v>
      </c>
      <c r="B11" s="130">
        <v>45875</v>
      </c>
      <c r="C11" s="129" t="s">
        <v>256</v>
      </c>
      <c r="D11" s="129"/>
      <c r="E11" s="129">
        <v>50</v>
      </c>
      <c r="F11" s="129">
        <v>-312.33</v>
      </c>
      <c r="J11" s="129">
        <v>5819</v>
      </c>
      <c r="K11" s="129" t="s">
        <v>91</v>
      </c>
      <c r="L11" s="129">
        <v>0</v>
      </c>
      <c r="M11" s="129">
        <v>50</v>
      </c>
      <c r="N11" s="129">
        <v>50</v>
      </c>
      <c r="O11" s="129">
        <v>50</v>
      </c>
      <c r="P11" s="129">
        <v>0</v>
      </c>
    </row>
    <row r="12" spans="1:16" ht="15" thickBot="1" x14ac:dyDescent="0.35">
      <c r="A12" s="129">
        <v>1406796</v>
      </c>
      <c r="B12" s="130">
        <v>45875</v>
      </c>
      <c r="C12" s="129" t="s">
        <v>257</v>
      </c>
      <c r="D12" s="129">
        <v>7.51</v>
      </c>
      <c r="E12" s="129"/>
      <c r="F12" s="129">
        <v>-319.83999999999997</v>
      </c>
      <c r="J12" s="129">
        <v>5820</v>
      </c>
      <c r="K12" s="129" t="s">
        <v>92</v>
      </c>
      <c r="L12" s="129">
        <v>-50</v>
      </c>
      <c r="M12" s="129">
        <v>50</v>
      </c>
      <c r="N12" s="129">
        <v>0</v>
      </c>
      <c r="O12" s="129">
        <v>0</v>
      </c>
      <c r="P12" s="129">
        <v>0</v>
      </c>
    </row>
    <row r="13" spans="1:16" ht="15" thickBot="1" x14ac:dyDescent="0.35">
      <c r="A13" s="129">
        <v>1406800</v>
      </c>
      <c r="B13" s="130">
        <v>45875</v>
      </c>
      <c r="C13" s="129" t="s">
        <v>281</v>
      </c>
      <c r="D13" s="129"/>
      <c r="E13" s="129">
        <v>100</v>
      </c>
      <c r="F13" s="129">
        <v>-219.84</v>
      </c>
      <c r="J13" s="129">
        <v>5821</v>
      </c>
      <c r="K13" s="129" t="s">
        <v>93</v>
      </c>
      <c r="L13" s="129">
        <v>20</v>
      </c>
      <c r="M13" s="129">
        <v>50</v>
      </c>
      <c r="N13" s="129">
        <v>70</v>
      </c>
      <c r="O13" s="129">
        <v>50</v>
      </c>
      <c r="P13" s="129">
        <v>20</v>
      </c>
    </row>
    <row r="14" spans="1:16" ht="15" thickBot="1" x14ac:dyDescent="0.35">
      <c r="A14" s="129">
        <v>1406803</v>
      </c>
      <c r="B14" s="130">
        <v>45875</v>
      </c>
      <c r="C14" s="129" t="s">
        <v>282</v>
      </c>
      <c r="D14" s="129">
        <v>15.01</v>
      </c>
      <c r="E14" s="129"/>
      <c r="F14" s="129">
        <v>-234.85</v>
      </c>
      <c r="J14" s="129">
        <v>5822</v>
      </c>
      <c r="K14" s="129" t="s">
        <v>94</v>
      </c>
      <c r="L14" s="129">
        <v>50</v>
      </c>
      <c r="M14" s="129">
        <v>50</v>
      </c>
      <c r="N14" s="129">
        <v>100</v>
      </c>
      <c r="O14" s="129">
        <v>0</v>
      </c>
      <c r="P14" s="129">
        <v>100</v>
      </c>
    </row>
    <row r="15" spans="1:16" ht="15" thickBot="1" x14ac:dyDescent="0.35">
      <c r="A15" s="129">
        <v>1406807</v>
      </c>
      <c r="B15" s="130">
        <v>45875</v>
      </c>
      <c r="C15" s="129" t="s">
        <v>283</v>
      </c>
      <c r="D15" s="129"/>
      <c r="E15" s="129">
        <v>50</v>
      </c>
      <c r="F15" s="129">
        <v>-184.85</v>
      </c>
      <c r="J15" s="129">
        <v>5823</v>
      </c>
      <c r="K15" s="129" t="s">
        <v>95</v>
      </c>
      <c r="L15" s="129">
        <v>60</v>
      </c>
      <c r="M15" s="129">
        <v>50</v>
      </c>
      <c r="N15" s="129">
        <v>110</v>
      </c>
      <c r="O15" s="129">
        <v>0</v>
      </c>
      <c r="P15" s="129">
        <v>110</v>
      </c>
    </row>
    <row r="16" spans="1:16" ht="15" thickBot="1" x14ac:dyDescent="0.35">
      <c r="A16" s="129">
        <v>1406810</v>
      </c>
      <c r="B16" s="130">
        <v>45875</v>
      </c>
      <c r="C16" s="129" t="s">
        <v>284</v>
      </c>
      <c r="D16" s="129">
        <v>7.51</v>
      </c>
      <c r="E16" s="129"/>
      <c r="F16" s="129">
        <v>-192.36</v>
      </c>
      <c r="J16" s="129">
        <v>5824</v>
      </c>
      <c r="K16" s="129" t="s">
        <v>96</v>
      </c>
      <c r="L16" s="129">
        <v>0</v>
      </c>
      <c r="M16" s="129">
        <v>50</v>
      </c>
      <c r="N16" s="129">
        <v>50</v>
      </c>
      <c r="O16" s="129">
        <v>50</v>
      </c>
      <c r="P16" s="129">
        <v>0</v>
      </c>
    </row>
    <row r="17" spans="1:16" ht="15" thickBot="1" x14ac:dyDescent="0.35">
      <c r="A17" s="129">
        <v>1406814</v>
      </c>
      <c r="B17" s="130">
        <v>45875</v>
      </c>
      <c r="C17" s="129" t="s">
        <v>258</v>
      </c>
      <c r="D17" s="129"/>
      <c r="E17" s="129">
        <v>50</v>
      </c>
      <c r="F17" s="129">
        <v>-142.36000000000001</v>
      </c>
      <c r="J17" s="129">
        <v>5825</v>
      </c>
      <c r="K17" s="129" t="s">
        <v>97</v>
      </c>
      <c r="L17" s="129">
        <v>50</v>
      </c>
      <c r="M17" s="129">
        <v>50</v>
      </c>
      <c r="N17" s="129">
        <v>100</v>
      </c>
      <c r="O17" s="129">
        <v>0</v>
      </c>
      <c r="P17" s="129">
        <v>100</v>
      </c>
    </row>
    <row r="18" spans="1:16" ht="15" thickBot="1" x14ac:dyDescent="0.35">
      <c r="A18" s="129">
        <v>1406817</v>
      </c>
      <c r="B18" s="130">
        <v>45875</v>
      </c>
      <c r="C18" s="129" t="s">
        <v>259</v>
      </c>
      <c r="D18" s="129">
        <v>7.51</v>
      </c>
      <c r="E18" s="129"/>
      <c r="F18" s="129">
        <v>-149.87</v>
      </c>
      <c r="J18" s="129">
        <v>5826</v>
      </c>
      <c r="K18" s="129" t="s">
        <v>98</v>
      </c>
      <c r="L18" s="129">
        <v>50</v>
      </c>
      <c r="M18" s="129">
        <v>50</v>
      </c>
      <c r="N18" s="129">
        <v>100</v>
      </c>
      <c r="O18" s="129">
        <v>50</v>
      </c>
      <c r="P18" s="129">
        <v>50</v>
      </c>
    </row>
    <row r="19" spans="1:16" ht="15" thickBot="1" x14ac:dyDescent="0.35">
      <c r="A19" s="129">
        <v>1406828</v>
      </c>
      <c r="B19" s="130">
        <v>45875</v>
      </c>
      <c r="C19" s="129" t="s">
        <v>252</v>
      </c>
      <c r="D19" s="129"/>
      <c r="E19" s="129">
        <v>50</v>
      </c>
      <c r="F19" s="129">
        <v>-99.87</v>
      </c>
      <c r="J19" s="169">
        <v>5827</v>
      </c>
      <c r="K19" s="169" t="s">
        <v>99</v>
      </c>
      <c r="L19" s="169">
        <v>0</v>
      </c>
      <c r="M19" s="169">
        <v>50</v>
      </c>
      <c r="N19" s="169">
        <v>50</v>
      </c>
      <c r="O19" s="169">
        <v>0</v>
      </c>
      <c r="P19" s="169">
        <v>50</v>
      </c>
    </row>
    <row r="20" spans="1:16" ht="15" thickBot="1" x14ac:dyDescent="0.35">
      <c r="A20" s="129">
        <v>1406831</v>
      </c>
      <c r="B20" s="130">
        <v>45875</v>
      </c>
      <c r="C20" s="129" t="s">
        <v>253</v>
      </c>
      <c r="D20" s="129">
        <v>7.51</v>
      </c>
      <c r="E20" s="129"/>
      <c r="F20" s="129">
        <v>-107.38</v>
      </c>
      <c r="J20" s="129">
        <v>5828</v>
      </c>
      <c r="K20" s="129" t="s">
        <v>100</v>
      </c>
      <c r="L20" s="129">
        <v>50</v>
      </c>
      <c r="M20" s="129">
        <v>50</v>
      </c>
      <c r="N20" s="129">
        <v>100</v>
      </c>
      <c r="O20" s="129">
        <v>100</v>
      </c>
      <c r="P20" s="129">
        <v>0</v>
      </c>
    </row>
    <row r="21" spans="1:16" ht="15" thickBot="1" x14ac:dyDescent="0.35">
      <c r="A21" s="129">
        <v>1406835</v>
      </c>
      <c r="B21" s="130">
        <v>45875</v>
      </c>
      <c r="C21" s="129" t="s">
        <v>250</v>
      </c>
      <c r="D21" s="129"/>
      <c r="E21" s="129">
        <v>50</v>
      </c>
      <c r="F21" s="129">
        <v>-57.38</v>
      </c>
      <c r="J21" s="129">
        <v>5829</v>
      </c>
      <c r="K21" s="129" t="s">
        <v>101</v>
      </c>
      <c r="L21" s="129">
        <v>0</v>
      </c>
      <c r="M21" s="129">
        <v>50</v>
      </c>
      <c r="N21" s="129">
        <v>50</v>
      </c>
      <c r="O21" s="129">
        <v>50</v>
      </c>
      <c r="P21" s="129">
        <v>0</v>
      </c>
    </row>
    <row r="22" spans="1:16" ht="15" thickBot="1" x14ac:dyDescent="0.35">
      <c r="A22" s="129">
        <v>1406838</v>
      </c>
      <c r="B22" s="130">
        <v>45875</v>
      </c>
      <c r="C22" s="129" t="s">
        <v>251</v>
      </c>
      <c r="D22" s="129">
        <v>7.51</v>
      </c>
      <c r="E22" s="129"/>
      <c r="F22" s="129">
        <v>-64.89</v>
      </c>
      <c r="J22" s="129">
        <v>5830</v>
      </c>
      <c r="K22" s="129" t="s">
        <v>102</v>
      </c>
      <c r="L22" s="129">
        <v>0</v>
      </c>
      <c r="M22" s="129">
        <v>50</v>
      </c>
      <c r="N22" s="129">
        <v>50</v>
      </c>
      <c r="O22" s="129">
        <v>50</v>
      </c>
      <c r="P22" s="129">
        <v>0</v>
      </c>
    </row>
    <row r="23" spans="1:16" ht="15" thickBot="1" x14ac:dyDescent="0.35">
      <c r="A23" s="129">
        <v>1406842</v>
      </c>
      <c r="B23" s="130">
        <v>45875</v>
      </c>
      <c r="C23" s="129" t="s">
        <v>285</v>
      </c>
      <c r="D23" s="129"/>
      <c r="E23" s="129">
        <v>50</v>
      </c>
      <c r="F23" s="129">
        <v>-14.89</v>
      </c>
      <c r="J23" s="129">
        <v>5831</v>
      </c>
      <c r="K23" s="129" t="s">
        <v>103</v>
      </c>
      <c r="L23" s="129">
        <v>0</v>
      </c>
      <c r="M23" s="129">
        <v>50</v>
      </c>
      <c r="N23" s="129">
        <v>50</v>
      </c>
      <c r="O23" s="129">
        <v>50</v>
      </c>
      <c r="P23" s="129">
        <v>0</v>
      </c>
    </row>
    <row r="24" spans="1:16" ht="15" thickBot="1" x14ac:dyDescent="0.35">
      <c r="A24" s="129">
        <v>1406845</v>
      </c>
      <c r="B24" s="130">
        <v>45875</v>
      </c>
      <c r="C24" s="129" t="s">
        <v>286</v>
      </c>
      <c r="D24" s="129">
        <v>7.51</v>
      </c>
      <c r="E24" s="129"/>
      <c r="F24" s="129">
        <v>-22.4</v>
      </c>
      <c r="J24" s="129">
        <v>5832</v>
      </c>
      <c r="K24" s="129" t="s">
        <v>104</v>
      </c>
      <c r="L24" s="129">
        <v>0</v>
      </c>
      <c r="M24" s="129">
        <v>50</v>
      </c>
      <c r="N24" s="129">
        <v>50</v>
      </c>
      <c r="O24" s="129">
        <v>50</v>
      </c>
      <c r="P24" s="129">
        <v>0</v>
      </c>
    </row>
    <row r="25" spans="1:16" ht="15" thickBot="1" x14ac:dyDescent="0.35">
      <c r="A25" s="129">
        <v>1406849</v>
      </c>
      <c r="B25" s="130">
        <v>45875</v>
      </c>
      <c r="C25" s="129" t="s">
        <v>287</v>
      </c>
      <c r="D25" s="129"/>
      <c r="E25" s="129">
        <v>50</v>
      </c>
      <c r="F25" s="129">
        <v>27.6</v>
      </c>
      <c r="J25" s="129">
        <v>5833</v>
      </c>
      <c r="K25" s="129" t="s">
        <v>105</v>
      </c>
      <c r="L25" s="129">
        <v>0</v>
      </c>
      <c r="M25" s="129">
        <v>50</v>
      </c>
      <c r="N25" s="129">
        <v>50</v>
      </c>
      <c r="O25" s="129">
        <v>50</v>
      </c>
      <c r="P25" s="129">
        <v>0</v>
      </c>
    </row>
    <row r="26" spans="1:16" ht="15" thickBot="1" x14ac:dyDescent="0.35">
      <c r="A26" s="129">
        <v>1406852</v>
      </c>
      <c r="B26" s="130">
        <v>45875</v>
      </c>
      <c r="C26" s="129" t="s">
        <v>288</v>
      </c>
      <c r="D26" s="129">
        <v>7.51</v>
      </c>
      <c r="E26" s="129"/>
      <c r="F26" s="129">
        <v>20.09</v>
      </c>
      <c r="J26" s="129">
        <v>5834</v>
      </c>
      <c r="K26" s="129" t="s">
        <v>106</v>
      </c>
      <c r="L26" s="129">
        <v>0</v>
      </c>
      <c r="M26" s="129">
        <v>50</v>
      </c>
      <c r="N26" s="129">
        <v>50</v>
      </c>
      <c r="O26" s="129">
        <v>50</v>
      </c>
      <c r="P26" s="129">
        <v>0</v>
      </c>
    </row>
    <row r="27" spans="1:16" ht="15" thickBot="1" x14ac:dyDescent="0.35">
      <c r="A27" s="129">
        <v>1406856</v>
      </c>
      <c r="B27" s="130">
        <v>45875</v>
      </c>
      <c r="C27" s="129" t="s">
        <v>289</v>
      </c>
      <c r="D27" s="129"/>
      <c r="E27" s="129">
        <v>50</v>
      </c>
      <c r="F27" s="129">
        <v>70.09</v>
      </c>
      <c r="J27" s="129"/>
      <c r="K27" s="129"/>
      <c r="L27" s="172">
        <v>230</v>
      </c>
      <c r="M27" s="172">
        <v>850</v>
      </c>
      <c r="N27" s="172">
        <v>1080</v>
      </c>
      <c r="O27" s="172">
        <v>650</v>
      </c>
      <c r="P27" s="172">
        <v>430</v>
      </c>
    </row>
    <row r="28" spans="1:16" ht="15" thickBot="1" x14ac:dyDescent="0.35">
      <c r="A28" s="129">
        <v>1406859</v>
      </c>
      <c r="B28" s="130">
        <v>45875</v>
      </c>
      <c r="C28" s="129" t="s">
        <v>290</v>
      </c>
      <c r="D28" s="129">
        <v>7.51</v>
      </c>
      <c r="E28" s="129"/>
      <c r="F28" s="129">
        <v>62.58</v>
      </c>
    </row>
    <row r="29" spans="1:16" ht="15" thickBot="1" x14ac:dyDescent="0.35">
      <c r="A29" s="169">
        <v>1407652</v>
      </c>
      <c r="B29" s="170">
        <v>45876</v>
      </c>
      <c r="C29" s="169" t="s">
        <v>291</v>
      </c>
      <c r="D29" s="169"/>
      <c r="E29" s="169">
        <v>50</v>
      </c>
      <c r="F29" s="169">
        <v>112.58</v>
      </c>
    </row>
    <row r="30" spans="1:16" ht="15" thickBot="1" x14ac:dyDescent="0.35">
      <c r="A30" s="129">
        <v>1407655</v>
      </c>
      <c r="B30" s="130">
        <v>45876</v>
      </c>
      <c r="C30" s="129" t="s">
        <v>292</v>
      </c>
      <c r="D30" s="129">
        <v>7.51</v>
      </c>
      <c r="E30" s="129"/>
      <c r="F30" s="129">
        <v>105.07</v>
      </c>
    </row>
    <row r="31" spans="1:16" ht="15" thickBot="1" x14ac:dyDescent="0.35">
      <c r="A31" s="129">
        <v>1407681</v>
      </c>
      <c r="B31" s="130">
        <v>45876</v>
      </c>
      <c r="C31" s="129" t="s">
        <v>273</v>
      </c>
      <c r="D31" s="129"/>
      <c r="E31" s="129">
        <v>50</v>
      </c>
      <c r="F31" s="129">
        <v>155.07</v>
      </c>
    </row>
    <row r="32" spans="1:16" ht="15" thickBot="1" x14ac:dyDescent="0.35">
      <c r="A32" s="129">
        <v>1407684</v>
      </c>
      <c r="B32" s="130">
        <v>45876</v>
      </c>
      <c r="C32" s="129" t="s">
        <v>274</v>
      </c>
      <c r="D32" s="129">
        <v>7.51</v>
      </c>
      <c r="E32" s="129"/>
      <c r="F32" s="129">
        <v>147.56</v>
      </c>
    </row>
    <row r="33" spans="1:6" ht="15" thickBot="1" x14ac:dyDescent="0.35">
      <c r="A33" s="129">
        <v>1407730</v>
      </c>
      <c r="B33" s="130">
        <v>45876</v>
      </c>
      <c r="C33" s="129" t="s">
        <v>293</v>
      </c>
      <c r="D33" s="129"/>
      <c r="E33" s="129">
        <v>50</v>
      </c>
      <c r="F33" s="129">
        <v>197.56</v>
      </c>
    </row>
    <row r="34" spans="1:6" ht="15" thickBot="1" x14ac:dyDescent="0.35">
      <c r="A34" s="129">
        <v>1407733</v>
      </c>
      <c r="B34" s="130">
        <v>45876</v>
      </c>
      <c r="C34" s="129" t="s">
        <v>294</v>
      </c>
      <c r="D34" s="129">
        <v>7.51</v>
      </c>
      <c r="E34" s="129"/>
      <c r="F34" s="129">
        <v>190.05</v>
      </c>
    </row>
    <row r="35" spans="1:6" ht="15" thickBot="1" x14ac:dyDescent="0.35">
      <c r="A35" s="129">
        <v>1414512</v>
      </c>
      <c r="B35" s="130">
        <v>45899</v>
      </c>
      <c r="C35" s="129" t="s">
        <v>107</v>
      </c>
      <c r="D35" s="129">
        <v>543</v>
      </c>
      <c r="E35" s="129"/>
      <c r="F35" s="129">
        <v>-352.95</v>
      </c>
    </row>
    <row r="36" spans="1:6" x14ac:dyDescent="0.3">
      <c r="A36" s="129"/>
      <c r="B36" s="129"/>
      <c r="C36" s="129"/>
      <c r="D36" s="131">
        <v>640.62</v>
      </c>
      <c r="E36" s="131">
        <v>650</v>
      </c>
      <c r="F36" s="131">
        <v>-352.95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F94-01C6-4C1C-8DE0-9FEB24419DD2}">
  <dimension ref="A1:P50"/>
  <sheetViews>
    <sheetView topLeftCell="A14" workbookViewId="0">
      <selection activeCell="O10" sqref="O10:O26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5.33203125" customWidth="1"/>
    <col min="4" max="6" width="9" bestFit="1" customWidth="1"/>
  </cols>
  <sheetData>
    <row r="1" spans="1:16" x14ac:dyDescent="0.3">
      <c r="A1" s="124" t="s">
        <v>20</v>
      </c>
      <c r="B1" s="125"/>
      <c r="C1" s="125"/>
      <c r="D1" s="125"/>
      <c r="E1" s="125"/>
      <c r="F1" s="125"/>
      <c r="J1" s="124" t="s">
        <v>29</v>
      </c>
      <c r="K1" s="125"/>
      <c r="L1" s="125"/>
      <c r="M1" s="125"/>
      <c r="N1" s="125"/>
      <c r="O1" s="125"/>
      <c r="P1" s="125"/>
    </row>
    <row r="2" spans="1:16" x14ac:dyDescent="0.3">
      <c r="A2" s="125"/>
      <c r="B2" s="125"/>
      <c r="C2" s="125"/>
      <c r="D2" s="125"/>
      <c r="E2" s="125"/>
      <c r="F2" s="125"/>
      <c r="J2" s="171" t="s">
        <v>87</v>
      </c>
      <c r="K2" s="125"/>
      <c r="L2" s="125"/>
      <c r="M2" s="125"/>
      <c r="N2" s="125"/>
      <c r="O2" s="125"/>
      <c r="P2" s="125"/>
    </row>
    <row r="3" spans="1:16" x14ac:dyDescent="0.3">
      <c r="A3" s="126" t="s">
        <v>140</v>
      </c>
      <c r="B3" s="125"/>
      <c r="C3" s="125"/>
      <c r="D3" s="125"/>
      <c r="E3" s="125"/>
      <c r="F3" s="125"/>
      <c r="J3" s="171" t="s">
        <v>246</v>
      </c>
      <c r="K3" s="125"/>
      <c r="L3" s="125"/>
      <c r="M3" s="125"/>
      <c r="N3" s="125"/>
      <c r="O3" s="125"/>
      <c r="P3" s="125"/>
    </row>
    <row r="4" spans="1:16" x14ac:dyDescent="0.3">
      <c r="A4" s="125"/>
      <c r="B4" s="125"/>
      <c r="C4" s="125"/>
      <c r="D4" s="125"/>
      <c r="E4" s="125"/>
      <c r="F4" s="125"/>
      <c r="J4" s="171" t="s">
        <v>30</v>
      </c>
      <c r="K4" s="125"/>
      <c r="L4" s="125"/>
      <c r="M4" s="125"/>
      <c r="N4" s="125"/>
      <c r="O4" s="125"/>
      <c r="P4" s="125"/>
    </row>
    <row r="5" spans="1:16" x14ac:dyDescent="0.3">
      <c r="A5" s="127" t="s">
        <v>141</v>
      </c>
      <c r="B5" s="125"/>
      <c r="C5" s="125"/>
      <c r="D5" s="125"/>
      <c r="E5" s="125"/>
      <c r="F5" s="125"/>
      <c r="J5" s="125"/>
      <c r="K5" s="125"/>
      <c r="L5" s="125"/>
      <c r="M5" s="125"/>
      <c r="N5" s="125"/>
      <c r="O5" s="125"/>
      <c r="P5" s="125"/>
    </row>
    <row r="6" spans="1:16" x14ac:dyDescent="0.3">
      <c r="A6" s="127" t="s">
        <v>142</v>
      </c>
      <c r="B6" s="125"/>
      <c r="C6" s="125"/>
      <c r="D6" s="125"/>
      <c r="E6" s="125"/>
      <c r="F6" s="125"/>
      <c r="J6" s="125"/>
      <c r="K6" s="125"/>
      <c r="L6" s="125"/>
      <c r="M6" s="125"/>
      <c r="N6" s="125"/>
      <c r="O6" s="125"/>
      <c r="P6" s="125"/>
    </row>
    <row r="7" spans="1:16" x14ac:dyDescent="0.3">
      <c r="A7" s="127" t="s">
        <v>245</v>
      </c>
      <c r="B7" s="125"/>
      <c r="C7" s="125"/>
      <c r="D7" s="125"/>
      <c r="E7" s="125"/>
      <c r="F7" s="125"/>
      <c r="J7" s="125"/>
      <c r="K7" s="125"/>
      <c r="L7" s="125"/>
      <c r="M7" s="125"/>
      <c r="N7" s="125"/>
      <c r="O7" s="125"/>
      <c r="P7" s="125"/>
    </row>
    <row r="8" spans="1:16" x14ac:dyDescent="0.3">
      <c r="A8" s="128"/>
      <c r="B8" s="125"/>
      <c r="C8" s="125"/>
      <c r="D8" s="125"/>
      <c r="E8" s="125"/>
      <c r="F8" s="125"/>
      <c r="J8" s="171" t="s">
        <v>89</v>
      </c>
      <c r="K8" s="125"/>
      <c r="L8" s="125"/>
      <c r="M8" s="125"/>
      <c r="N8" s="125"/>
      <c r="O8" s="125"/>
      <c r="P8" s="12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29"/>
      <c r="B10" s="129"/>
      <c r="C10" s="129" t="s">
        <v>28</v>
      </c>
      <c r="D10" s="129"/>
      <c r="E10" s="129"/>
      <c r="F10" s="129">
        <v>-256.83</v>
      </c>
      <c r="J10" s="129">
        <v>5817</v>
      </c>
      <c r="K10" s="129" t="s">
        <v>90</v>
      </c>
      <c r="L10" s="129">
        <v>0</v>
      </c>
      <c r="M10" s="129">
        <v>50</v>
      </c>
      <c r="N10" s="129">
        <v>50</v>
      </c>
      <c r="O10" s="129">
        <v>100</v>
      </c>
      <c r="P10" s="129">
        <v>-50</v>
      </c>
    </row>
    <row r="11" spans="1:16" ht="15" thickBot="1" x14ac:dyDescent="0.35">
      <c r="A11" s="129">
        <v>1383040</v>
      </c>
      <c r="B11" s="130">
        <v>45810</v>
      </c>
      <c r="C11" s="129" t="s">
        <v>230</v>
      </c>
      <c r="D11" s="129"/>
      <c r="E11" s="129">
        <v>50</v>
      </c>
      <c r="F11" s="129">
        <v>-206.83</v>
      </c>
      <c r="J11" s="129">
        <v>5819</v>
      </c>
      <c r="K11" s="129" t="s">
        <v>91</v>
      </c>
      <c r="L11" s="129">
        <v>0</v>
      </c>
      <c r="M11" s="129">
        <v>50</v>
      </c>
      <c r="N11" s="129">
        <v>50</v>
      </c>
      <c r="O11" s="129">
        <v>50</v>
      </c>
      <c r="P11" s="129">
        <v>0</v>
      </c>
    </row>
    <row r="12" spans="1:16" ht="15" thickBot="1" x14ac:dyDescent="0.35">
      <c r="A12" s="129">
        <v>1383043</v>
      </c>
      <c r="B12" s="130">
        <v>45810</v>
      </c>
      <c r="C12" s="129" t="s">
        <v>231</v>
      </c>
      <c r="D12" s="129">
        <v>7.51</v>
      </c>
      <c r="E12" s="129"/>
      <c r="F12" s="129">
        <v>-214.34</v>
      </c>
      <c r="J12" s="129">
        <v>5820</v>
      </c>
      <c r="K12" s="129" t="s">
        <v>92</v>
      </c>
      <c r="L12" s="129">
        <v>0</v>
      </c>
      <c r="M12" s="129">
        <v>50</v>
      </c>
      <c r="N12" s="129">
        <v>50</v>
      </c>
      <c r="O12" s="129">
        <v>50</v>
      </c>
      <c r="P12" s="129">
        <v>0</v>
      </c>
    </row>
    <row r="13" spans="1:16" ht="15" thickBot="1" x14ac:dyDescent="0.35">
      <c r="A13" s="129">
        <v>1383047</v>
      </c>
      <c r="B13" s="130">
        <v>45810</v>
      </c>
      <c r="C13" s="129" t="s">
        <v>232</v>
      </c>
      <c r="D13" s="129"/>
      <c r="E13" s="129">
        <v>50</v>
      </c>
      <c r="F13" s="129">
        <v>-164.34</v>
      </c>
      <c r="J13" s="129">
        <v>5821</v>
      </c>
      <c r="K13" s="129" t="s">
        <v>93</v>
      </c>
      <c r="L13" s="129">
        <v>20</v>
      </c>
      <c r="M13" s="129">
        <v>50</v>
      </c>
      <c r="N13" s="129">
        <v>70</v>
      </c>
      <c r="O13" s="129">
        <v>50</v>
      </c>
      <c r="P13" s="129">
        <v>20</v>
      </c>
    </row>
    <row r="14" spans="1:16" ht="15" thickBot="1" x14ac:dyDescent="0.35">
      <c r="A14" s="129">
        <v>1383050</v>
      </c>
      <c r="B14" s="130">
        <v>45810</v>
      </c>
      <c r="C14" s="129" t="s">
        <v>233</v>
      </c>
      <c r="D14" s="129">
        <v>7.51</v>
      </c>
      <c r="E14" s="129"/>
      <c r="F14" s="129">
        <v>-171.85</v>
      </c>
      <c r="J14" s="129">
        <v>5822</v>
      </c>
      <c r="K14" s="129" t="s">
        <v>94</v>
      </c>
      <c r="L14" s="129">
        <v>50</v>
      </c>
      <c r="M14" s="129">
        <v>50</v>
      </c>
      <c r="N14" s="129">
        <v>100</v>
      </c>
      <c r="O14" s="129">
        <v>100</v>
      </c>
      <c r="P14" s="129">
        <v>0</v>
      </c>
    </row>
    <row r="15" spans="1:16" ht="15" thickBot="1" x14ac:dyDescent="0.35">
      <c r="A15" s="129">
        <v>1388386</v>
      </c>
      <c r="B15" s="130">
        <v>45812</v>
      </c>
      <c r="C15" s="129" t="s">
        <v>234</v>
      </c>
      <c r="D15" s="129"/>
      <c r="E15" s="129">
        <v>100</v>
      </c>
      <c r="F15" s="129">
        <v>-71.849999999999994</v>
      </c>
      <c r="J15" s="129">
        <v>5823</v>
      </c>
      <c r="K15" s="129" t="s">
        <v>95</v>
      </c>
      <c r="L15" s="129">
        <v>68</v>
      </c>
      <c r="M15" s="129">
        <v>50</v>
      </c>
      <c r="N15" s="129">
        <v>118</v>
      </c>
      <c r="O15" s="129">
        <v>50</v>
      </c>
      <c r="P15" s="129">
        <v>68</v>
      </c>
    </row>
    <row r="16" spans="1:16" ht="15" thickBot="1" x14ac:dyDescent="0.35">
      <c r="A16" s="129">
        <v>1388389</v>
      </c>
      <c r="B16" s="130">
        <v>45812</v>
      </c>
      <c r="C16" s="129" t="s">
        <v>235</v>
      </c>
      <c r="D16" s="129">
        <v>15.01</v>
      </c>
      <c r="E16" s="129"/>
      <c r="F16" s="129">
        <v>-86.86</v>
      </c>
      <c r="J16" s="129">
        <v>5824</v>
      </c>
      <c r="K16" s="129" t="s">
        <v>96</v>
      </c>
      <c r="L16" s="129">
        <v>0</v>
      </c>
      <c r="M16" s="129">
        <v>50</v>
      </c>
      <c r="N16" s="129">
        <v>50</v>
      </c>
      <c r="O16" s="129">
        <v>50</v>
      </c>
      <c r="P16" s="129">
        <v>0</v>
      </c>
    </row>
    <row r="17" spans="1:16" ht="15" thickBot="1" x14ac:dyDescent="0.35">
      <c r="A17" s="129">
        <v>1385227</v>
      </c>
      <c r="B17" s="130">
        <v>45813</v>
      </c>
      <c r="C17" s="129" t="s">
        <v>73</v>
      </c>
      <c r="D17" s="129"/>
      <c r="E17" s="129">
        <v>50</v>
      </c>
      <c r="F17" s="129">
        <v>-36.86</v>
      </c>
      <c r="J17" s="129">
        <v>5825</v>
      </c>
      <c r="K17" s="129" t="s">
        <v>97</v>
      </c>
      <c r="L17" s="129">
        <v>150</v>
      </c>
      <c r="M17" s="129">
        <v>50</v>
      </c>
      <c r="N17" s="129">
        <v>200</v>
      </c>
      <c r="O17" s="129">
        <v>200</v>
      </c>
      <c r="P17" s="129">
        <v>0</v>
      </c>
    </row>
    <row r="18" spans="1:16" ht="15" thickBot="1" x14ac:dyDescent="0.35">
      <c r="A18" s="129">
        <v>1385230</v>
      </c>
      <c r="B18" s="130">
        <v>45813</v>
      </c>
      <c r="C18" s="129" t="s">
        <v>74</v>
      </c>
      <c r="D18" s="129">
        <v>7.51</v>
      </c>
      <c r="E18" s="129"/>
      <c r="F18" s="129">
        <v>-44.37</v>
      </c>
      <c r="J18" s="129">
        <v>5826</v>
      </c>
      <c r="K18" s="129" t="s">
        <v>98</v>
      </c>
      <c r="L18" s="129">
        <v>0</v>
      </c>
      <c r="M18" s="129">
        <v>50</v>
      </c>
      <c r="N18" s="129">
        <v>50</v>
      </c>
      <c r="O18" s="129">
        <v>0</v>
      </c>
      <c r="P18" s="129">
        <v>50</v>
      </c>
    </row>
    <row r="19" spans="1:16" ht="15" thickBot="1" x14ac:dyDescent="0.35">
      <c r="A19" s="129">
        <v>1385234</v>
      </c>
      <c r="B19" s="130">
        <v>45813</v>
      </c>
      <c r="C19" s="129" t="s">
        <v>67</v>
      </c>
      <c r="D19" s="129"/>
      <c r="E19" s="129">
        <v>50</v>
      </c>
      <c r="F19" s="129">
        <v>5.63</v>
      </c>
      <c r="J19" s="129">
        <v>5827</v>
      </c>
      <c r="K19" s="129" t="s">
        <v>99</v>
      </c>
      <c r="L19" s="129">
        <v>0</v>
      </c>
      <c r="M19" s="129">
        <v>50</v>
      </c>
      <c r="N19" s="129">
        <v>50</v>
      </c>
      <c r="O19" s="129">
        <v>0</v>
      </c>
      <c r="P19" s="129">
        <v>50</v>
      </c>
    </row>
    <row r="20" spans="1:16" ht="15" thickBot="1" x14ac:dyDescent="0.35">
      <c r="A20" s="129">
        <v>1385237</v>
      </c>
      <c r="B20" s="130">
        <v>45813</v>
      </c>
      <c r="C20" s="129" t="s">
        <v>68</v>
      </c>
      <c r="D20" s="129">
        <v>7.51</v>
      </c>
      <c r="E20" s="129"/>
      <c r="F20" s="129">
        <v>-1.88</v>
      </c>
      <c r="J20" s="129">
        <v>5828</v>
      </c>
      <c r="K20" s="129" t="s">
        <v>100</v>
      </c>
      <c r="L20" s="129">
        <v>20</v>
      </c>
      <c r="M20" s="129">
        <v>50</v>
      </c>
      <c r="N20" s="129">
        <v>70</v>
      </c>
      <c r="O20" s="129">
        <v>70</v>
      </c>
      <c r="P20" s="129">
        <v>0</v>
      </c>
    </row>
    <row r="21" spans="1:16" ht="15" thickBot="1" x14ac:dyDescent="0.35">
      <c r="A21" s="129">
        <v>1385241</v>
      </c>
      <c r="B21" s="130">
        <v>45813</v>
      </c>
      <c r="C21" s="129" t="s">
        <v>71</v>
      </c>
      <c r="D21" s="129"/>
      <c r="E21" s="129">
        <v>50</v>
      </c>
      <c r="F21" s="129">
        <v>48.12</v>
      </c>
      <c r="J21" s="169">
        <v>5829</v>
      </c>
      <c r="K21" s="169" t="s">
        <v>101</v>
      </c>
      <c r="L21" s="169">
        <v>0</v>
      </c>
      <c r="M21" s="169">
        <v>50</v>
      </c>
      <c r="N21" s="169">
        <v>50</v>
      </c>
      <c r="O21" s="169">
        <v>100</v>
      </c>
      <c r="P21" s="169">
        <v>-50</v>
      </c>
    </row>
    <row r="22" spans="1:16" ht="15" thickBot="1" x14ac:dyDescent="0.35">
      <c r="A22" s="129">
        <v>1385244</v>
      </c>
      <c r="B22" s="130">
        <v>45813</v>
      </c>
      <c r="C22" s="129" t="s">
        <v>72</v>
      </c>
      <c r="D22" s="129">
        <v>7.51</v>
      </c>
      <c r="E22" s="129"/>
      <c r="F22" s="129">
        <v>40.61</v>
      </c>
      <c r="J22" s="129">
        <v>5830</v>
      </c>
      <c r="K22" s="129" t="s">
        <v>102</v>
      </c>
      <c r="L22" s="129">
        <v>-50</v>
      </c>
      <c r="M22" s="129">
        <v>50</v>
      </c>
      <c r="N22" s="129">
        <v>0</v>
      </c>
      <c r="O22" s="129">
        <v>0</v>
      </c>
      <c r="P22" s="129">
        <v>0</v>
      </c>
    </row>
    <row r="23" spans="1:16" ht="15" thickBot="1" x14ac:dyDescent="0.35">
      <c r="A23" s="129">
        <v>1385248</v>
      </c>
      <c r="B23" s="130">
        <v>45813</v>
      </c>
      <c r="C23" s="129" t="s">
        <v>55</v>
      </c>
      <c r="D23" s="129"/>
      <c r="E23" s="129">
        <v>50</v>
      </c>
      <c r="F23" s="129">
        <v>90.61</v>
      </c>
      <c r="J23" s="129">
        <v>5831</v>
      </c>
      <c r="K23" s="129" t="s">
        <v>103</v>
      </c>
      <c r="L23" s="129">
        <v>0</v>
      </c>
      <c r="M23" s="129">
        <v>50</v>
      </c>
      <c r="N23" s="129">
        <v>50</v>
      </c>
      <c r="O23" s="129">
        <v>50</v>
      </c>
      <c r="P23" s="129">
        <v>0</v>
      </c>
    </row>
    <row r="24" spans="1:16" ht="15" thickBot="1" x14ac:dyDescent="0.35">
      <c r="A24" s="129">
        <v>1385251</v>
      </c>
      <c r="B24" s="130">
        <v>45813</v>
      </c>
      <c r="C24" s="129" t="s">
        <v>56</v>
      </c>
      <c r="D24" s="129">
        <v>7.51</v>
      </c>
      <c r="E24" s="129"/>
      <c r="F24" s="129">
        <v>83.1</v>
      </c>
      <c r="J24" s="129">
        <v>5832</v>
      </c>
      <c r="K24" s="129" t="s">
        <v>104</v>
      </c>
      <c r="L24" s="129">
        <v>0</v>
      </c>
      <c r="M24" s="129">
        <v>50</v>
      </c>
      <c r="N24" s="129">
        <v>50</v>
      </c>
      <c r="O24" s="129">
        <v>50</v>
      </c>
      <c r="P24" s="129">
        <v>0</v>
      </c>
    </row>
    <row r="25" spans="1:16" ht="15" thickBot="1" x14ac:dyDescent="0.35">
      <c r="A25" s="129">
        <v>1385255</v>
      </c>
      <c r="B25" s="130">
        <v>45813</v>
      </c>
      <c r="C25" s="129" t="s">
        <v>63</v>
      </c>
      <c r="D25" s="129"/>
      <c r="E25" s="129">
        <v>50</v>
      </c>
      <c r="F25" s="129">
        <v>133.1</v>
      </c>
      <c r="J25" s="129">
        <v>5833</v>
      </c>
      <c r="K25" s="129" t="s">
        <v>105</v>
      </c>
      <c r="L25" s="129">
        <v>0</v>
      </c>
      <c r="M25" s="129">
        <v>50</v>
      </c>
      <c r="N25" s="129">
        <v>50</v>
      </c>
      <c r="O25" s="129">
        <v>50</v>
      </c>
      <c r="P25" s="129">
        <v>0</v>
      </c>
    </row>
    <row r="26" spans="1:16" ht="15" thickBot="1" x14ac:dyDescent="0.35">
      <c r="A26" s="129">
        <v>1385258</v>
      </c>
      <c r="B26" s="130">
        <v>45813</v>
      </c>
      <c r="C26" s="129" t="s">
        <v>64</v>
      </c>
      <c r="D26" s="129">
        <v>7.51</v>
      </c>
      <c r="E26" s="129"/>
      <c r="F26" s="129">
        <v>125.59</v>
      </c>
      <c r="J26" s="129">
        <v>5834</v>
      </c>
      <c r="K26" s="129" t="s">
        <v>106</v>
      </c>
      <c r="L26" s="129">
        <v>0</v>
      </c>
      <c r="M26" s="129">
        <v>50</v>
      </c>
      <c r="N26" s="129">
        <v>50</v>
      </c>
      <c r="O26" s="129">
        <v>50</v>
      </c>
      <c r="P26" s="129">
        <v>0</v>
      </c>
    </row>
    <row r="27" spans="1:16" ht="15" thickBot="1" x14ac:dyDescent="0.35">
      <c r="A27" s="129">
        <v>1385262</v>
      </c>
      <c r="B27" s="130">
        <v>45813</v>
      </c>
      <c r="C27" s="129" t="s">
        <v>61</v>
      </c>
      <c r="D27" s="129"/>
      <c r="E27" s="129">
        <v>50</v>
      </c>
      <c r="F27" s="129">
        <v>175.59</v>
      </c>
      <c r="J27" s="129"/>
      <c r="K27" s="129"/>
      <c r="L27" s="172">
        <v>258</v>
      </c>
      <c r="M27" s="172">
        <v>850</v>
      </c>
      <c r="N27" s="172">
        <v>1108</v>
      </c>
      <c r="O27" s="172">
        <v>1020</v>
      </c>
      <c r="P27" s="172">
        <v>88</v>
      </c>
    </row>
    <row r="28" spans="1:16" ht="15" thickBot="1" x14ac:dyDescent="0.35">
      <c r="A28" s="129">
        <v>1385265</v>
      </c>
      <c r="B28" s="130">
        <v>45813</v>
      </c>
      <c r="C28" s="129" t="s">
        <v>62</v>
      </c>
      <c r="D28" s="129">
        <v>7.51</v>
      </c>
      <c r="E28" s="129"/>
      <c r="F28" s="129">
        <v>168.08</v>
      </c>
      <c r="P28">
        <f>P10+P21</f>
        <v>-100</v>
      </c>
    </row>
    <row r="29" spans="1:16" ht="15" thickBot="1" x14ac:dyDescent="0.35">
      <c r="A29" s="129">
        <v>1385269</v>
      </c>
      <c r="B29" s="130">
        <v>45813</v>
      </c>
      <c r="C29" s="129" t="s">
        <v>69</v>
      </c>
      <c r="D29" s="129"/>
      <c r="E29" s="129">
        <v>50</v>
      </c>
      <c r="F29" s="129">
        <v>218.08</v>
      </c>
      <c r="P29">
        <f>P28*-1</f>
        <v>100</v>
      </c>
    </row>
    <row r="30" spans="1:16" ht="15" thickBot="1" x14ac:dyDescent="0.35">
      <c r="A30" s="129">
        <v>1385272</v>
      </c>
      <c r="B30" s="130">
        <v>45813</v>
      </c>
      <c r="C30" s="129" t="s">
        <v>70</v>
      </c>
      <c r="D30" s="129">
        <v>7.51</v>
      </c>
      <c r="E30" s="129"/>
      <c r="F30" s="129">
        <v>210.57</v>
      </c>
      <c r="P30">
        <f>P27+P29</f>
        <v>188</v>
      </c>
    </row>
    <row r="31" spans="1:16" ht="15" thickBot="1" x14ac:dyDescent="0.35">
      <c r="A31" s="129">
        <v>1385283</v>
      </c>
      <c r="B31" s="130">
        <v>45813</v>
      </c>
      <c r="C31" s="129" t="s">
        <v>53</v>
      </c>
      <c r="D31" s="129"/>
      <c r="E31" s="129">
        <v>50</v>
      </c>
      <c r="F31" s="129">
        <v>260.57</v>
      </c>
    </row>
    <row r="32" spans="1:16" ht="15" thickBot="1" x14ac:dyDescent="0.35">
      <c r="A32" s="129">
        <v>1385286</v>
      </c>
      <c r="B32" s="130">
        <v>45813</v>
      </c>
      <c r="C32" s="129" t="s">
        <v>54</v>
      </c>
      <c r="D32" s="129">
        <v>7.51</v>
      </c>
      <c r="E32" s="129"/>
      <c r="F32" s="129">
        <v>253.06</v>
      </c>
    </row>
    <row r="33" spans="1:6" ht="15" thickBot="1" x14ac:dyDescent="0.35">
      <c r="A33" s="129">
        <v>1385290</v>
      </c>
      <c r="B33" s="130">
        <v>45813</v>
      </c>
      <c r="C33" s="129" t="s">
        <v>45</v>
      </c>
      <c r="D33" s="129"/>
      <c r="E33" s="129">
        <v>50</v>
      </c>
      <c r="F33" s="129">
        <v>303.06</v>
      </c>
    </row>
    <row r="34" spans="1:6" ht="15" thickBot="1" x14ac:dyDescent="0.35">
      <c r="A34" s="129">
        <v>1385293</v>
      </c>
      <c r="B34" s="130">
        <v>45813</v>
      </c>
      <c r="C34" s="129" t="s">
        <v>46</v>
      </c>
      <c r="D34" s="129">
        <v>7.51</v>
      </c>
      <c r="E34" s="129"/>
      <c r="F34" s="129">
        <v>295.55</v>
      </c>
    </row>
    <row r="35" spans="1:6" ht="15" thickBot="1" x14ac:dyDescent="0.35">
      <c r="A35" s="129">
        <v>1385311</v>
      </c>
      <c r="B35" s="130">
        <v>45813</v>
      </c>
      <c r="C35" s="129" t="s">
        <v>63</v>
      </c>
      <c r="D35" s="129"/>
      <c r="E35" s="129">
        <v>50</v>
      </c>
      <c r="F35" s="129">
        <v>345.55</v>
      </c>
    </row>
    <row r="36" spans="1:6" ht="15" thickBot="1" x14ac:dyDescent="0.35">
      <c r="A36" s="129">
        <v>1385314</v>
      </c>
      <c r="B36" s="130">
        <v>45813</v>
      </c>
      <c r="C36" s="129" t="s">
        <v>64</v>
      </c>
      <c r="D36" s="129">
        <v>7.51</v>
      </c>
      <c r="E36" s="129"/>
      <c r="F36" s="129">
        <v>338.04</v>
      </c>
    </row>
    <row r="37" spans="1:6" ht="15" thickBot="1" x14ac:dyDescent="0.35">
      <c r="A37" s="129">
        <v>1385693</v>
      </c>
      <c r="B37" s="130">
        <v>45814</v>
      </c>
      <c r="C37" s="129" t="s">
        <v>236</v>
      </c>
      <c r="D37" s="129"/>
      <c r="E37" s="129">
        <v>50</v>
      </c>
      <c r="F37" s="129">
        <v>388.04</v>
      </c>
    </row>
    <row r="38" spans="1:6" ht="15" thickBot="1" x14ac:dyDescent="0.35">
      <c r="A38" s="129">
        <v>1385696</v>
      </c>
      <c r="B38" s="130">
        <v>45814</v>
      </c>
      <c r="C38" s="129" t="s">
        <v>237</v>
      </c>
      <c r="D38" s="129">
        <v>7.51</v>
      </c>
      <c r="E38" s="129"/>
      <c r="F38" s="129">
        <v>380.53</v>
      </c>
    </row>
    <row r="39" spans="1:6" ht="15" thickBot="1" x14ac:dyDescent="0.35">
      <c r="A39" s="129">
        <v>1388131</v>
      </c>
      <c r="B39" s="130">
        <v>45817</v>
      </c>
      <c r="C39" s="129" t="s">
        <v>238</v>
      </c>
      <c r="D39" s="129">
        <v>58</v>
      </c>
      <c r="E39" s="129"/>
      <c r="F39" s="129">
        <v>322.52999999999997</v>
      </c>
    </row>
    <row r="40" spans="1:6" ht="15" thickBot="1" x14ac:dyDescent="0.35">
      <c r="A40" s="129">
        <v>1389759</v>
      </c>
      <c r="B40" s="130">
        <v>45825</v>
      </c>
      <c r="C40" s="129" t="s">
        <v>207</v>
      </c>
      <c r="D40" s="129">
        <v>80</v>
      </c>
      <c r="E40" s="129"/>
      <c r="F40" s="129">
        <v>242.53</v>
      </c>
    </row>
    <row r="41" spans="1:6" ht="15" thickBot="1" x14ac:dyDescent="0.35">
      <c r="A41" s="129">
        <v>1389442</v>
      </c>
      <c r="B41" s="130">
        <v>45828</v>
      </c>
      <c r="C41" s="129" t="s">
        <v>239</v>
      </c>
      <c r="D41" s="129"/>
      <c r="E41" s="129">
        <v>200</v>
      </c>
      <c r="F41" s="129">
        <v>442.53</v>
      </c>
    </row>
    <row r="42" spans="1:6" ht="15" thickBot="1" x14ac:dyDescent="0.35">
      <c r="A42" s="129">
        <v>1389445</v>
      </c>
      <c r="B42" s="130">
        <v>45828</v>
      </c>
      <c r="C42" s="129" t="s">
        <v>240</v>
      </c>
      <c r="D42" s="129">
        <v>30.02</v>
      </c>
      <c r="E42" s="129"/>
      <c r="F42" s="129">
        <v>412.51</v>
      </c>
    </row>
    <row r="43" spans="1:6" ht="15" thickBot="1" x14ac:dyDescent="0.35">
      <c r="A43" s="129">
        <v>1389449</v>
      </c>
      <c r="B43" s="130">
        <v>45828</v>
      </c>
      <c r="C43" s="129" t="s">
        <v>241</v>
      </c>
      <c r="D43" s="129"/>
      <c r="E43" s="129">
        <v>20</v>
      </c>
      <c r="F43" s="129">
        <v>432.51</v>
      </c>
    </row>
    <row r="44" spans="1:6" ht="15" thickBot="1" x14ac:dyDescent="0.35">
      <c r="A44" s="169">
        <v>1389452</v>
      </c>
      <c r="B44" s="170">
        <v>45828</v>
      </c>
      <c r="C44" s="169" t="s">
        <v>242</v>
      </c>
      <c r="D44" s="169">
        <v>3</v>
      </c>
      <c r="E44" s="169"/>
      <c r="F44" s="169">
        <v>429.51</v>
      </c>
    </row>
    <row r="45" spans="1:6" ht="15" thickBot="1" x14ac:dyDescent="0.35">
      <c r="A45" s="129">
        <v>1389959</v>
      </c>
      <c r="B45" s="130">
        <v>45828</v>
      </c>
      <c r="C45" s="129" t="s">
        <v>136</v>
      </c>
      <c r="D45" s="129">
        <v>20</v>
      </c>
      <c r="E45" s="129"/>
      <c r="F45" s="129">
        <v>409.51</v>
      </c>
    </row>
    <row r="46" spans="1:6" ht="15" thickBot="1" x14ac:dyDescent="0.35">
      <c r="A46" s="129">
        <v>1389961</v>
      </c>
      <c r="B46" s="130">
        <v>45828</v>
      </c>
      <c r="C46" s="129" t="s">
        <v>80</v>
      </c>
      <c r="D46" s="129">
        <v>200</v>
      </c>
      <c r="E46" s="129"/>
      <c r="F46" s="129">
        <v>209.51</v>
      </c>
    </row>
    <row r="47" spans="1:6" ht="15" thickBot="1" x14ac:dyDescent="0.35">
      <c r="A47" s="129">
        <v>1390477</v>
      </c>
      <c r="B47" s="130">
        <v>45835</v>
      </c>
      <c r="C47" s="129" t="s">
        <v>243</v>
      </c>
      <c r="D47" s="129"/>
      <c r="E47" s="129">
        <v>50</v>
      </c>
      <c r="F47" s="129">
        <v>259.51</v>
      </c>
    </row>
    <row r="48" spans="1:6" ht="15" thickBot="1" x14ac:dyDescent="0.35">
      <c r="A48" s="129">
        <v>1390480</v>
      </c>
      <c r="B48" s="130">
        <v>45835</v>
      </c>
      <c r="C48" s="129" t="s">
        <v>244</v>
      </c>
      <c r="D48" s="129">
        <v>7.51</v>
      </c>
      <c r="E48" s="129"/>
      <c r="F48" s="129">
        <v>252</v>
      </c>
    </row>
    <row r="49" spans="1:6" ht="15" thickBot="1" x14ac:dyDescent="0.35">
      <c r="A49" s="129">
        <v>1393461</v>
      </c>
      <c r="B49" s="130">
        <v>45838</v>
      </c>
      <c r="C49" s="129" t="s">
        <v>107</v>
      </c>
      <c r="D49" s="129">
        <v>543</v>
      </c>
      <c r="E49" s="129"/>
      <c r="F49" s="129">
        <v>-291</v>
      </c>
    </row>
    <row r="50" spans="1:6" x14ac:dyDescent="0.3">
      <c r="A50" s="129"/>
      <c r="B50" s="129"/>
      <c r="C50" s="129"/>
      <c r="D50" s="131">
        <v>1054.17</v>
      </c>
      <c r="E50" s="131">
        <v>1020</v>
      </c>
      <c r="F50" s="131">
        <v>-291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FA01-FB04-4B2B-9A84-A34C2C6340BC}">
  <sheetPr codeName="Sheet1"/>
  <dimension ref="A1:X46"/>
  <sheetViews>
    <sheetView topLeftCell="A35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7.218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228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227</v>
      </c>
      <c r="B7" s="110"/>
      <c r="C7" s="110"/>
      <c r="D7" s="110"/>
      <c r="E7" s="110"/>
      <c r="F7" s="110"/>
      <c r="J7" s="112" t="s">
        <v>227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-502.62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1372604</v>
      </c>
      <c r="B11" s="116">
        <v>45779</v>
      </c>
      <c r="C11" s="115" t="s">
        <v>83</v>
      </c>
      <c r="D11" s="115">
        <v>45</v>
      </c>
      <c r="E11" s="115"/>
      <c r="F11" s="115">
        <v>-547.62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1372857</v>
      </c>
      <c r="B12" s="116">
        <v>45783</v>
      </c>
      <c r="C12" s="115" t="s">
        <v>67</v>
      </c>
      <c r="D12" s="115"/>
      <c r="E12" s="115">
        <v>50</v>
      </c>
      <c r="F12" s="115">
        <v>-497.62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50</v>
      </c>
      <c r="X12" s="115">
        <v>0</v>
      </c>
    </row>
    <row r="13" spans="1:24" ht="15" thickBot="1" x14ac:dyDescent="0.35">
      <c r="A13" s="115">
        <v>1372860</v>
      </c>
      <c r="B13" s="116">
        <v>45783</v>
      </c>
      <c r="C13" s="115" t="s">
        <v>68</v>
      </c>
      <c r="D13" s="115">
        <v>7.51</v>
      </c>
      <c r="E13" s="115"/>
      <c r="F13" s="115">
        <v>-505.13</v>
      </c>
      <c r="R13" s="115">
        <v>5821</v>
      </c>
      <c r="S13" s="115" t="s">
        <v>93</v>
      </c>
      <c r="T13" s="115">
        <v>65</v>
      </c>
      <c r="U13" s="115">
        <v>55</v>
      </c>
      <c r="V13" s="115">
        <v>120</v>
      </c>
      <c r="W13" s="115">
        <v>100</v>
      </c>
      <c r="X13" s="115">
        <v>20</v>
      </c>
    </row>
    <row r="14" spans="1:24" ht="15" thickBot="1" x14ac:dyDescent="0.35">
      <c r="A14" s="115">
        <v>1372864</v>
      </c>
      <c r="B14" s="116">
        <v>45783</v>
      </c>
      <c r="C14" s="115" t="s">
        <v>59</v>
      </c>
      <c r="D14" s="115"/>
      <c r="E14" s="115">
        <v>50</v>
      </c>
      <c r="F14" s="115">
        <v>-455.13</v>
      </c>
      <c r="R14" s="115">
        <v>5822</v>
      </c>
      <c r="S14" s="115" t="s">
        <v>94</v>
      </c>
      <c r="T14" s="115">
        <v>50</v>
      </c>
      <c r="U14" s="115">
        <v>50</v>
      </c>
      <c r="V14" s="115">
        <v>100</v>
      </c>
      <c r="W14" s="115">
        <v>50</v>
      </c>
      <c r="X14" s="115">
        <v>50</v>
      </c>
    </row>
    <row r="15" spans="1:24" ht="15" thickBot="1" x14ac:dyDescent="0.35">
      <c r="A15" s="115">
        <v>1372867</v>
      </c>
      <c r="B15" s="116">
        <v>45783</v>
      </c>
      <c r="C15" s="115" t="s">
        <v>60</v>
      </c>
      <c r="D15" s="115">
        <v>7.51</v>
      </c>
      <c r="E15" s="115"/>
      <c r="F15" s="115">
        <v>-462.64</v>
      </c>
      <c r="R15" s="115">
        <v>5823</v>
      </c>
      <c r="S15" s="115" t="s">
        <v>95</v>
      </c>
      <c r="T15" s="115">
        <v>110</v>
      </c>
      <c r="U15" s="115">
        <v>55</v>
      </c>
      <c r="V15" s="115">
        <v>165</v>
      </c>
      <c r="W15" s="115">
        <v>97</v>
      </c>
      <c r="X15" s="115">
        <v>68</v>
      </c>
    </row>
    <row r="16" spans="1:24" ht="15" thickBot="1" x14ac:dyDescent="0.35">
      <c r="A16" s="115">
        <v>1372871</v>
      </c>
      <c r="B16" s="116">
        <v>45783</v>
      </c>
      <c r="C16" s="115" t="s">
        <v>73</v>
      </c>
      <c r="D16" s="115"/>
      <c r="E16" s="115">
        <v>50</v>
      </c>
      <c r="F16" s="115">
        <v>-412.64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1372874</v>
      </c>
      <c r="B17" s="116">
        <v>45783</v>
      </c>
      <c r="C17" s="115" t="s">
        <v>74</v>
      </c>
      <c r="D17" s="115">
        <v>7.51</v>
      </c>
      <c r="E17" s="115"/>
      <c r="F17" s="115">
        <v>-420.15</v>
      </c>
      <c r="R17" s="115">
        <v>5825</v>
      </c>
      <c r="S17" s="115" t="s">
        <v>97</v>
      </c>
      <c r="T17" s="115">
        <v>100</v>
      </c>
      <c r="U17" s="115">
        <v>50</v>
      </c>
      <c r="V17" s="115">
        <v>150</v>
      </c>
      <c r="W17" s="115">
        <v>0</v>
      </c>
      <c r="X17" s="115">
        <v>150</v>
      </c>
    </row>
    <row r="18" spans="1:24" ht="15" thickBot="1" x14ac:dyDescent="0.35">
      <c r="A18" s="115">
        <v>1372878</v>
      </c>
      <c r="B18" s="116">
        <v>45783</v>
      </c>
      <c r="C18" s="115" t="s">
        <v>61</v>
      </c>
      <c r="D18" s="115"/>
      <c r="E18" s="115">
        <v>50</v>
      </c>
      <c r="F18" s="115">
        <v>-370.15</v>
      </c>
      <c r="R18" s="115">
        <v>5826</v>
      </c>
      <c r="S18" s="115" t="s">
        <v>98</v>
      </c>
      <c r="T18" s="115">
        <v>165</v>
      </c>
      <c r="U18" s="115">
        <v>55</v>
      </c>
      <c r="V18" s="115">
        <v>220</v>
      </c>
      <c r="W18" s="115">
        <v>220</v>
      </c>
      <c r="X18" s="115">
        <v>0</v>
      </c>
    </row>
    <row r="19" spans="1:24" ht="15" thickBot="1" x14ac:dyDescent="0.35">
      <c r="A19" s="115">
        <v>1372881</v>
      </c>
      <c r="B19" s="116">
        <v>45783</v>
      </c>
      <c r="C19" s="115" t="s">
        <v>62</v>
      </c>
      <c r="D19" s="115">
        <v>7.51</v>
      </c>
      <c r="E19" s="115"/>
      <c r="F19" s="115">
        <v>-377.66</v>
      </c>
      <c r="R19" s="117">
        <v>5827</v>
      </c>
      <c r="S19" s="117" t="s">
        <v>99</v>
      </c>
      <c r="T19" s="117">
        <v>0</v>
      </c>
      <c r="U19" s="117">
        <v>50</v>
      </c>
      <c r="V19" s="117">
        <v>50</v>
      </c>
      <c r="W19" s="117">
        <v>50</v>
      </c>
      <c r="X19" s="117">
        <v>0</v>
      </c>
    </row>
    <row r="20" spans="1:24" ht="15" thickBot="1" x14ac:dyDescent="0.35">
      <c r="A20" s="115">
        <v>1372885</v>
      </c>
      <c r="B20" s="116">
        <v>45783</v>
      </c>
      <c r="C20" s="115" t="s">
        <v>69</v>
      </c>
      <c r="D20" s="115"/>
      <c r="E20" s="115">
        <v>50</v>
      </c>
      <c r="F20" s="115">
        <v>-327.66000000000003</v>
      </c>
      <c r="R20" s="115">
        <v>5828</v>
      </c>
      <c r="S20" s="115" t="s">
        <v>100</v>
      </c>
      <c r="T20" s="115">
        <v>20</v>
      </c>
      <c r="U20" s="115">
        <v>50</v>
      </c>
      <c r="V20" s="115">
        <v>70</v>
      </c>
      <c r="W20" s="115">
        <v>50</v>
      </c>
      <c r="X20" s="115">
        <v>20</v>
      </c>
    </row>
    <row r="21" spans="1:24" ht="15" thickBot="1" x14ac:dyDescent="0.35">
      <c r="A21" s="115">
        <v>1372888</v>
      </c>
      <c r="B21" s="116">
        <v>45783</v>
      </c>
      <c r="C21" s="115" t="s">
        <v>70</v>
      </c>
      <c r="D21" s="115">
        <v>7.51</v>
      </c>
      <c r="E21" s="115"/>
      <c r="F21" s="115">
        <v>-335.17</v>
      </c>
      <c r="R21" s="115">
        <v>5829</v>
      </c>
      <c r="S21" s="115" t="s">
        <v>101</v>
      </c>
      <c r="T21" s="115">
        <v>50</v>
      </c>
      <c r="U21" s="115">
        <v>50</v>
      </c>
      <c r="V21" s="115">
        <v>100</v>
      </c>
      <c r="W21" s="115">
        <v>100</v>
      </c>
      <c r="X21" s="115">
        <v>0</v>
      </c>
    </row>
    <row r="22" spans="1:24" ht="15" thickBot="1" x14ac:dyDescent="0.35">
      <c r="A22" s="115">
        <v>1372892</v>
      </c>
      <c r="B22" s="116">
        <v>45783</v>
      </c>
      <c r="C22" s="115" t="s">
        <v>65</v>
      </c>
      <c r="D22" s="115"/>
      <c r="E22" s="115">
        <v>50</v>
      </c>
      <c r="F22" s="115">
        <v>-285.17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50</v>
      </c>
      <c r="X22" s="115">
        <v>-50</v>
      </c>
    </row>
    <row r="23" spans="1:24" ht="15" thickBot="1" x14ac:dyDescent="0.35">
      <c r="A23" s="115">
        <v>1372895</v>
      </c>
      <c r="B23" s="116">
        <v>45783</v>
      </c>
      <c r="C23" s="115" t="s">
        <v>66</v>
      </c>
      <c r="D23" s="115">
        <v>7.51</v>
      </c>
      <c r="E23" s="115"/>
      <c r="F23" s="115">
        <v>-292.68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15">
        <v>1372899</v>
      </c>
      <c r="B24" s="116">
        <v>45783</v>
      </c>
      <c r="C24" s="115" t="s">
        <v>55</v>
      </c>
      <c r="D24" s="115"/>
      <c r="E24" s="115">
        <v>50</v>
      </c>
      <c r="F24" s="115">
        <v>-242.68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1372902</v>
      </c>
      <c r="B25" s="116">
        <v>45783</v>
      </c>
      <c r="C25" s="115" t="s">
        <v>56</v>
      </c>
      <c r="D25" s="115">
        <v>7.51</v>
      </c>
      <c r="E25" s="115"/>
      <c r="F25" s="115">
        <v>-250.19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1372906</v>
      </c>
      <c r="B26" s="116">
        <v>45783</v>
      </c>
      <c r="C26" s="115" t="s">
        <v>45</v>
      </c>
      <c r="D26" s="115"/>
      <c r="E26" s="115">
        <v>50</v>
      </c>
      <c r="F26" s="115">
        <v>-200.19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1372909</v>
      </c>
      <c r="B27" s="116">
        <v>45783</v>
      </c>
      <c r="C27" s="115" t="s">
        <v>46</v>
      </c>
      <c r="D27" s="115">
        <v>7.51</v>
      </c>
      <c r="E27" s="115"/>
      <c r="F27" s="115">
        <v>-207.7</v>
      </c>
      <c r="R27" s="115"/>
      <c r="S27" s="115"/>
      <c r="T27" s="121">
        <v>460</v>
      </c>
      <c r="U27" s="121">
        <v>865</v>
      </c>
      <c r="V27" s="121">
        <v>1325</v>
      </c>
      <c r="W27" s="121">
        <v>1067</v>
      </c>
      <c r="X27" s="121">
        <v>258</v>
      </c>
    </row>
    <row r="28" spans="1:24" ht="15" thickBot="1" x14ac:dyDescent="0.35">
      <c r="A28" s="115">
        <v>1373217</v>
      </c>
      <c r="B28" s="116">
        <v>45783</v>
      </c>
      <c r="C28" s="115" t="s">
        <v>214</v>
      </c>
      <c r="D28" s="115"/>
      <c r="E28" s="115">
        <v>50</v>
      </c>
      <c r="F28" s="115">
        <v>-157.69999999999999</v>
      </c>
      <c r="X28">
        <f>X22</f>
        <v>-50</v>
      </c>
    </row>
    <row r="29" spans="1:24" ht="15" thickBot="1" x14ac:dyDescent="0.35">
      <c r="A29" s="115">
        <v>1373220</v>
      </c>
      <c r="B29" s="116">
        <v>45783</v>
      </c>
      <c r="C29" s="115" t="s">
        <v>215</v>
      </c>
      <c r="D29" s="115">
        <v>7.51</v>
      </c>
      <c r="E29" s="115"/>
      <c r="F29" s="115">
        <v>-165.21</v>
      </c>
      <c r="X29">
        <f>X28*-1</f>
        <v>50</v>
      </c>
    </row>
    <row r="30" spans="1:24" ht="15" thickBot="1" x14ac:dyDescent="0.35">
      <c r="A30" s="115">
        <v>1378069</v>
      </c>
      <c r="B30" s="116">
        <v>45783</v>
      </c>
      <c r="C30" s="115" t="s">
        <v>216</v>
      </c>
      <c r="D30" s="115"/>
      <c r="E30" s="115">
        <v>100</v>
      </c>
      <c r="F30" s="115">
        <v>-65.209999999999994</v>
      </c>
      <c r="X30">
        <f>X27+X29</f>
        <v>308</v>
      </c>
    </row>
    <row r="31" spans="1:24" ht="15" thickBot="1" x14ac:dyDescent="0.35">
      <c r="A31" s="115">
        <v>1378072</v>
      </c>
      <c r="B31" s="116">
        <v>45783</v>
      </c>
      <c r="C31" s="115" t="s">
        <v>217</v>
      </c>
      <c r="D31" s="115">
        <v>15.01</v>
      </c>
      <c r="E31" s="115"/>
      <c r="F31" s="115">
        <v>-80.22</v>
      </c>
    </row>
    <row r="32" spans="1:24" ht="15" thickBot="1" x14ac:dyDescent="0.35">
      <c r="A32" s="115">
        <v>1375930</v>
      </c>
      <c r="B32" s="116">
        <v>45785</v>
      </c>
      <c r="C32" s="115" t="s">
        <v>136</v>
      </c>
      <c r="D32" s="115">
        <v>15</v>
      </c>
      <c r="E32" s="115"/>
      <c r="F32" s="115">
        <v>-95.22</v>
      </c>
    </row>
    <row r="33" spans="1:6" ht="15" thickBot="1" x14ac:dyDescent="0.35">
      <c r="A33" s="115">
        <v>1375645</v>
      </c>
      <c r="B33" s="116">
        <v>45786</v>
      </c>
      <c r="C33" s="115" t="s">
        <v>218</v>
      </c>
      <c r="D33" s="115"/>
      <c r="E33" s="115">
        <v>220</v>
      </c>
      <c r="F33" s="115">
        <v>124.78</v>
      </c>
    </row>
    <row r="34" spans="1:6" ht="15" thickBot="1" x14ac:dyDescent="0.35">
      <c r="A34" s="115">
        <v>1375648</v>
      </c>
      <c r="B34" s="116">
        <v>45786</v>
      </c>
      <c r="C34" s="115" t="s">
        <v>219</v>
      </c>
      <c r="D34" s="115">
        <v>33.020000000000003</v>
      </c>
      <c r="E34" s="115"/>
      <c r="F34" s="115">
        <v>91.76</v>
      </c>
    </row>
    <row r="35" spans="1:6" ht="15" thickBot="1" x14ac:dyDescent="0.35">
      <c r="A35" s="115">
        <v>1376239</v>
      </c>
      <c r="B35" s="116">
        <v>45789</v>
      </c>
      <c r="C35" s="115" t="s">
        <v>220</v>
      </c>
      <c r="D35" s="115"/>
      <c r="E35" s="115">
        <v>97</v>
      </c>
      <c r="F35" s="115">
        <v>188.76</v>
      </c>
    </row>
    <row r="36" spans="1:6" ht="15" thickBot="1" x14ac:dyDescent="0.35">
      <c r="A36" s="115">
        <v>1376242</v>
      </c>
      <c r="B36" s="116">
        <v>45789</v>
      </c>
      <c r="C36" s="115" t="s">
        <v>221</v>
      </c>
      <c r="D36" s="115">
        <v>14.56</v>
      </c>
      <c r="E36" s="115"/>
      <c r="F36" s="115">
        <v>174.2</v>
      </c>
    </row>
    <row r="37" spans="1:6" ht="15" thickBot="1" x14ac:dyDescent="0.35">
      <c r="A37" s="115">
        <v>1376269</v>
      </c>
      <c r="B37" s="116">
        <v>45789</v>
      </c>
      <c r="C37" s="115" t="s">
        <v>222</v>
      </c>
      <c r="D37" s="115"/>
      <c r="E37" s="115">
        <v>50</v>
      </c>
      <c r="F37" s="115">
        <v>224.2</v>
      </c>
    </row>
    <row r="38" spans="1:6" ht="15" thickBot="1" x14ac:dyDescent="0.35">
      <c r="A38" s="115">
        <v>1376272</v>
      </c>
      <c r="B38" s="116">
        <v>45789</v>
      </c>
      <c r="C38" s="115" t="s">
        <v>223</v>
      </c>
      <c r="D38" s="115">
        <v>7.51</v>
      </c>
      <c r="E38" s="115"/>
      <c r="F38" s="115">
        <v>216.69</v>
      </c>
    </row>
    <row r="39" spans="1:6" ht="15" thickBot="1" x14ac:dyDescent="0.35">
      <c r="A39" s="115">
        <v>1376297</v>
      </c>
      <c r="B39" s="116">
        <v>45789</v>
      </c>
      <c r="C39" s="115" t="s">
        <v>224</v>
      </c>
      <c r="D39" s="115"/>
      <c r="E39" s="115">
        <v>50</v>
      </c>
      <c r="F39" s="115">
        <v>266.69</v>
      </c>
    </row>
    <row r="40" spans="1:6" ht="15" thickBot="1" x14ac:dyDescent="0.35">
      <c r="A40" s="115">
        <v>1376300</v>
      </c>
      <c r="B40" s="116">
        <v>45789</v>
      </c>
      <c r="C40" s="115" t="s">
        <v>225</v>
      </c>
      <c r="D40" s="115">
        <v>7.51</v>
      </c>
      <c r="E40" s="115"/>
      <c r="F40" s="115">
        <v>259.18</v>
      </c>
    </row>
    <row r="41" spans="1:6" ht="15" thickBot="1" x14ac:dyDescent="0.35">
      <c r="A41" s="117">
        <v>1377947</v>
      </c>
      <c r="B41" s="118">
        <v>45792</v>
      </c>
      <c r="C41" s="117" t="s">
        <v>226</v>
      </c>
      <c r="D41" s="117">
        <v>8</v>
      </c>
      <c r="E41" s="117"/>
      <c r="F41" s="117">
        <v>251.18</v>
      </c>
    </row>
    <row r="42" spans="1:6" ht="15" thickBot="1" x14ac:dyDescent="0.35">
      <c r="A42" s="115">
        <v>1380083</v>
      </c>
      <c r="B42" s="116">
        <v>45804</v>
      </c>
      <c r="C42" s="115" t="s">
        <v>136</v>
      </c>
      <c r="D42" s="115">
        <v>50</v>
      </c>
      <c r="E42" s="115"/>
      <c r="F42" s="115">
        <v>201.18</v>
      </c>
    </row>
    <row r="43" spans="1:6" ht="15" thickBot="1" x14ac:dyDescent="0.35">
      <c r="A43" s="115">
        <v>1379945</v>
      </c>
      <c r="B43" s="116">
        <v>45805</v>
      </c>
      <c r="C43" s="115" t="s">
        <v>49</v>
      </c>
      <c r="D43" s="115"/>
      <c r="E43" s="115">
        <v>100</v>
      </c>
      <c r="F43" s="115">
        <v>301.18</v>
      </c>
    </row>
    <row r="44" spans="1:6" ht="15" thickBot="1" x14ac:dyDescent="0.35">
      <c r="A44" s="115">
        <v>1379948</v>
      </c>
      <c r="B44" s="116">
        <v>45805</v>
      </c>
      <c r="C44" s="115" t="s">
        <v>50</v>
      </c>
      <c r="D44" s="115">
        <v>15.01</v>
      </c>
      <c r="E44" s="115"/>
      <c r="F44" s="115">
        <v>286.17</v>
      </c>
    </row>
    <row r="45" spans="1:6" ht="15" thickBot="1" x14ac:dyDescent="0.35">
      <c r="A45" s="115">
        <v>1382718</v>
      </c>
      <c r="B45" s="116">
        <v>45807</v>
      </c>
      <c r="C45" s="115" t="s">
        <v>107</v>
      </c>
      <c r="D45" s="115">
        <v>543</v>
      </c>
      <c r="E45" s="115"/>
      <c r="F45" s="115">
        <v>-256.83</v>
      </c>
    </row>
    <row r="46" spans="1:6" x14ac:dyDescent="0.3">
      <c r="A46" s="115"/>
      <c r="B46" s="115"/>
      <c r="C46" s="115"/>
      <c r="D46" s="119">
        <v>821.21</v>
      </c>
      <c r="E46" s="119">
        <v>1067</v>
      </c>
      <c r="F46" s="119">
        <v>-256.83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0B0D-2A59-4BA5-AC2E-729E2F5642D3}">
  <sheetPr codeName="Sheet3"/>
  <dimension ref="A1:W38"/>
  <sheetViews>
    <sheetView topLeftCell="E6" workbookViewId="0">
      <selection activeCell="V10" sqref="V10:V26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210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209</v>
      </c>
      <c r="B7" s="110"/>
      <c r="C7" s="110"/>
      <c r="D7" s="110"/>
      <c r="E7" s="110"/>
      <c r="F7" s="110"/>
      <c r="I7" s="112" t="s">
        <v>209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525.99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100</v>
      </c>
      <c r="W10" s="115">
        <v>-50</v>
      </c>
    </row>
    <row r="11" spans="1:23" ht="15" thickBot="1" x14ac:dyDescent="0.35">
      <c r="A11" s="115">
        <v>1363463</v>
      </c>
      <c r="B11" s="116">
        <v>45748</v>
      </c>
      <c r="C11" s="115" t="s">
        <v>79</v>
      </c>
      <c r="D11" s="115">
        <v>543</v>
      </c>
      <c r="E11" s="115"/>
      <c r="F11" s="115">
        <v>-17.010000000000002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1361544</v>
      </c>
      <c r="B12" s="116">
        <v>45749</v>
      </c>
      <c r="C12" s="115" t="s">
        <v>73</v>
      </c>
      <c r="D12" s="115"/>
      <c r="E12" s="115">
        <v>50</v>
      </c>
      <c r="F12" s="115">
        <v>-17.010000000000002</v>
      </c>
      <c r="Q12" s="115">
        <v>5820</v>
      </c>
      <c r="R12" s="115" t="s">
        <v>92</v>
      </c>
      <c r="S12" s="115">
        <v>0</v>
      </c>
      <c r="T12" s="115">
        <v>50</v>
      </c>
      <c r="U12" s="115">
        <v>50</v>
      </c>
      <c r="V12" s="115">
        <v>50</v>
      </c>
      <c r="W12" s="115">
        <v>0</v>
      </c>
    </row>
    <row r="13" spans="1:23" ht="15" thickBot="1" x14ac:dyDescent="0.35">
      <c r="A13" s="115">
        <v>1361547</v>
      </c>
      <c r="B13" s="116">
        <v>45749</v>
      </c>
      <c r="C13" s="115" t="s">
        <v>74</v>
      </c>
      <c r="D13" s="115">
        <v>7.51</v>
      </c>
      <c r="E13" s="115"/>
      <c r="F13" s="115">
        <v>-24.52</v>
      </c>
      <c r="Q13" s="115">
        <v>5821</v>
      </c>
      <c r="R13" s="115" t="s">
        <v>93</v>
      </c>
      <c r="S13" s="115">
        <v>10</v>
      </c>
      <c r="T13" s="115">
        <v>50</v>
      </c>
      <c r="U13" s="115">
        <v>60</v>
      </c>
      <c r="V13" s="115">
        <v>0</v>
      </c>
      <c r="W13" s="115">
        <v>60</v>
      </c>
    </row>
    <row r="14" spans="1:23" ht="15" thickBot="1" x14ac:dyDescent="0.35">
      <c r="A14" s="115">
        <v>1361551</v>
      </c>
      <c r="B14" s="116">
        <v>45749</v>
      </c>
      <c r="C14" s="115" t="s">
        <v>67</v>
      </c>
      <c r="D14" s="115"/>
      <c r="E14" s="115">
        <v>50</v>
      </c>
      <c r="F14" s="115">
        <v>25.48</v>
      </c>
      <c r="Q14" s="115">
        <v>5822</v>
      </c>
      <c r="R14" s="115" t="s">
        <v>94</v>
      </c>
      <c r="S14" s="115">
        <v>0</v>
      </c>
      <c r="T14" s="115">
        <v>50</v>
      </c>
      <c r="U14" s="115">
        <v>50</v>
      </c>
      <c r="V14" s="115">
        <v>0</v>
      </c>
      <c r="W14" s="115">
        <v>50</v>
      </c>
    </row>
    <row r="15" spans="1:23" ht="15" thickBot="1" x14ac:dyDescent="0.35">
      <c r="A15" s="115">
        <v>1361554</v>
      </c>
      <c r="B15" s="116">
        <v>45749</v>
      </c>
      <c r="C15" s="115" t="s">
        <v>68</v>
      </c>
      <c r="D15" s="115">
        <v>7.51</v>
      </c>
      <c r="E15" s="115"/>
      <c r="F15" s="115">
        <v>17.97</v>
      </c>
      <c r="Q15" s="115">
        <v>5823</v>
      </c>
      <c r="R15" s="115" t="s">
        <v>95</v>
      </c>
      <c r="S15" s="115">
        <v>55</v>
      </c>
      <c r="T15" s="115">
        <v>50</v>
      </c>
      <c r="U15" s="115">
        <v>105</v>
      </c>
      <c r="V15" s="115">
        <v>0</v>
      </c>
      <c r="W15" s="115">
        <v>105</v>
      </c>
    </row>
    <row r="16" spans="1:23" ht="15" thickBot="1" x14ac:dyDescent="0.35">
      <c r="A16" s="115">
        <v>1361558</v>
      </c>
      <c r="B16" s="116">
        <v>45749</v>
      </c>
      <c r="C16" s="115" t="s">
        <v>69</v>
      </c>
      <c r="D16" s="115"/>
      <c r="E16" s="115">
        <v>50</v>
      </c>
      <c r="F16" s="115">
        <v>67.97</v>
      </c>
      <c r="Q16" s="115">
        <v>5824</v>
      </c>
      <c r="R16" s="115" t="s">
        <v>96</v>
      </c>
      <c r="S16" s="115">
        <v>0</v>
      </c>
      <c r="T16" s="115">
        <v>50</v>
      </c>
      <c r="U16" s="115">
        <v>50</v>
      </c>
      <c r="V16" s="115">
        <v>50</v>
      </c>
      <c r="W16" s="115">
        <v>0</v>
      </c>
    </row>
    <row r="17" spans="1:23" ht="15" thickBot="1" x14ac:dyDescent="0.35">
      <c r="A17" s="115">
        <v>1361561</v>
      </c>
      <c r="B17" s="116">
        <v>45749</v>
      </c>
      <c r="C17" s="115" t="s">
        <v>70</v>
      </c>
      <c r="D17" s="115">
        <v>7.51</v>
      </c>
      <c r="E17" s="115"/>
      <c r="F17" s="115">
        <v>60.46</v>
      </c>
      <c r="Q17" s="115">
        <v>5825</v>
      </c>
      <c r="R17" s="115" t="s">
        <v>97</v>
      </c>
      <c r="S17" s="115">
        <v>50</v>
      </c>
      <c r="T17" s="115">
        <v>50</v>
      </c>
      <c r="U17" s="115">
        <v>100</v>
      </c>
      <c r="V17" s="115">
        <v>0</v>
      </c>
      <c r="W17" s="115">
        <v>100</v>
      </c>
    </row>
    <row r="18" spans="1:23" ht="15" thickBot="1" x14ac:dyDescent="0.35">
      <c r="A18" s="115">
        <v>1361565</v>
      </c>
      <c r="B18" s="116">
        <v>45749</v>
      </c>
      <c r="C18" s="115" t="s">
        <v>55</v>
      </c>
      <c r="D18" s="115"/>
      <c r="E18" s="115">
        <v>50</v>
      </c>
      <c r="F18" s="115">
        <v>110.46</v>
      </c>
      <c r="Q18" s="115">
        <v>5826</v>
      </c>
      <c r="R18" s="115" t="s">
        <v>98</v>
      </c>
      <c r="S18" s="115">
        <v>105</v>
      </c>
      <c r="T18" s="115">
        <v>50</v>
      </c>
      <c r="U18" s="115">
        <v>155</v>
      </c>
      <c r="V18" s="115">
        <v>0</v>
      </c>
      <c r="W18" s="115">
        <v>155</v>
      </c>
    </row>
    <row r="19" spans="1:23" ht="15" thickBot="1" x14ac:dyDescent="0.35">
      <c r="A19" s="115">
        <v>1361568</v>
      </c>
      <c r="B19" s="116">
        <v>45749</v>
      </c>
      <c r="C19" s="115" t="s">
        <v>56</v>
      </c>
      <c r="D19" s="115">
        <v>7.51</v>
      </c>
      <c r="E19" s="115"/>
      <c r="F19" s="115">
        <v>102.95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1361572</v>
      </c>
      <c r="B20" s="116">
        <v>45749</v>
      </c>
      <c r="C20" s="115" t="s">
        <v>45</v>
      </c>
      <c r="D20" s="115"/>
      <c r="E20" s="115">
        <v>50</v>
      </c>
      <c r="F20" s="115">
        <v>152.94999999999999</v>
      </c>
      <c r="Q20" s="117">
        <v>5828</v>
      </c>
      <c r="R20" s="117" t="s">
        <v>100</v>
      </c>
      <c r="S20" s="117">
        <v>20</v>
      </c>
      <c r="T20" s="117">
        <v>50</v>
      </c>
      <c r="U20" s="117">
        <v>70</v>
      </c>
      <c r="V20" s="117">
        <v>50</v>
      </c>
      <c r="W20" s="117">
        <v>20</v>
      </c>
    </row>
    <row r="21" spans="1:23" ht="15" thickBot="1" x14ac:dyDescent="0.35">
      <c r="A21" s="115">
        <v>1361575</v>
      </c>
      <c r="B21" s="116">
        <v>45749</v>
      </c>
      <c r="C21" s="115" t="s">
        <v>46</v>
      </c>
      <c r="D21" s="115">
        <v>7.51</v>
      </c>
      <c r="E21" s="115"/>
      <c r="F21" s="115">
        <v>145.44</v>
      </c>
      <c r="Q21" s="115">
        <v>5829</v>
      </c>
      <c r="R21" s="115" t="s">
        <v>101</v>
      </c>
      <c r="S21" s="115">
        <v>0</v>
      </c>
      <c r="T21" s="115">
        <v>50</v>
      </c>
      <c r="U21" s="115">
        <v>50</v>
      </c>
      <c r="V21" s="115">
        <v>0</v>
      </c>
      <c r="W21" s="115">
        <v>50</v>
      </c>
    </row>
    <row r="22" spans="1:23" ht="15" thickBot="1" x14ac:dyDescent="0.35">
      <c r="A22" s="115">
        <v>1361579</v>
      </c>
      <c r="B22" s="116">
        <v>45749</v>
      </c>
      <c r="C22" s="115" t="s">
        <v>61</v>
      </c>
      <c r="D22" s="115"/>
      <c r="E22" s="115">
        <v>50</v>
      </c>
      <c r="F22" s="115">
        <v>195.44</v>
      </c>
      <c r="Q22" s="115">
        <v>5830</v>
      </c>
      <c r="R22" s="115" t="s">
        <v>102</v>
      </c>
      <c r="S22" s="115">
        <v>-100</v>
      </c>
      <c r="T22" s="115">
        <v>50</v>
      </c>
      <c r="U22" s="115">
        <v>-50</v>
      </c>
      <c r="V22" s="115">
        <v>0</v>
      </c>
      <c r="W22" s="115">
        <v>-50</v>
      </c>
    </row>
    <row r="23" spans="1:23" ht="15" thickBot="1" x14ac:dyDescent="0.35">
      <c r="A23" s="115">
        <v>1361582</v>
      </c>
      <c r="B23" s="116">
        <v>45749</v>
      </c>
      <c r="C23" s="115" t="s">
        <v>62</v>
      </c>
      <c r="D23" s="115">
        <v>7.51</v>
      </c>
      <c r="E23" s="115"/>
      <c r="F23" s="115">
        <v>187.93</v>
      </c>
      <c r="Q23" s="115">
        <v>5831</v>
      </c>
      <c r="R23" s="115" t="s">
        <v>103</v>
      </c>
      <c r="S23" s="115">
        <v>0</v>
      </c>
      <c r="T23" s="115">
        <v>50</v>
      </c>
      <c r="U23" s="115">
        <v>50</v>
      </c>
      <c r="V23" s="115">
        <v>50</v>
      </c>
      <c r="W23" s="115">
        <v>0</v>
      </c>
    </row>
    <row r="24" spans="1:23" ht="15" thickBot="1" x14ac:dyDescent="0.35">
      <c r="A24" s="115">
        <v>1362876</v>
      </c>
      <c r="B24" s="116">
        <v>45750</v>
      </c>
      <c r="C24" s="115" t="s">
        <v>196</v>
      </c>
      <c r="D24" s="115"/>
      <c r="E24" s="115">
        <v>50</v>
      </c>
      <c r="F24" s="115">
        <v>237.93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1362879</v>
      </c>
      <c r="B25" s="116">
        <v>45750</v>
      </c>
      <c r="C25" s="115" t="s">
        <v>197</v>
      </c>
      <c r="D25" s="115">
        <v>7.51</v>
      </c>
      <c r="E25" s="115"/>
      <c r="F25" s="115">
        <v>230.42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1363724</v>
      </c>
      <c r="B26" s="116">
        <v>45751</v>
      </c>
      <c r="C26" s="115" t="s">
        <v>198</v>
      </c>
      <c r="D26" s="115"/>
      <c r="E26" s="115">
        <v>50</v>
      </c>
      <c r="F26" s="115">
        <v>280.42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1363727</v>
      </c>
      <c r="B27" s="116">
        <v>45751</v>
      </c>
      <c r="C27" s="115" t="s">
        <v>199</v>
      </c>
      <c r="D27" s="115">
        <v>7.51</v>
      </c>
      <c r="E27" s="115"/>
      <c r="F27" s="115">
        <v>272.91000000000003</v>
      </c>
      <c r="Q27" s="115"/>
      <c r="R27" s="115"/>
      <c r="S27" s="121">
        <v>140</v>
      </c>
      <c r="T27" s="121">
        <v>850</v>
      </c>
      <c r="U27" s="121">
        <v>990</v>
      </c>
      <c r="V27" s="121">
        <v>550</v>
      </c>
      <c r="W27" s="121">
        <v>440</v>
      </c>
    </row>
    <row r="28" spans="1:23" ht="15" thickBot="1" x14ac:dyDescent="0.35">
      <c r="A28" s="115">
        <v>1365440</v>
      </c>
      <c r="B28" s="116">
        <v>45755</v>
      </c>
      <c r="C28" s="115" t="s">
        <v>200</v>
      </c>
      <c r="D28" s="115"/>
      <c r="E28" s="115">
        <v>50</v>
      </c>
      <c r="F28" s="115">
        <v>322.91000000000003</v>
      </c>
      <c r="W28">
        <f>W10+W22</f>
        <v>-100</v>
      </c>
    </row>
    <row r="29" spans="1:23" ht="15" thickBot="1" x14ac:dyDescent="0.35">
      <c r="A29" s="115">
        <v>1365443</v>
      </c>
      <c r="B29" s="116">
        <v>45755</v>
      </c>
      <c r="C29" s="115" t="s">
        <v>201</v>
      </c>
      <c r="D29" s="115">
        <v>7.51</v>
      </c>
      <c r="E29" s="115"/>
      <c r="F29" s="115">
        <v>315.39999999999998</v>
      </c>
      <c r="W29">
        <f>W28*-1</f>
        <v>100</v>
      </c>
    </row>
    <row r="30" spans="1:23" ht="15" thickBot="1" x14ac:dyDescent="0.35">
      <c r="A30" s="115">
        <v>1366918</v>
      </c>
      <c r="B30" s="116">
        <v>45756</v>
      </c>
      <c r="C30" s="115" t="s">
        <v>202</v>
      </c>
      <c r="D30" s="115">
        <v>275</v>
      </c>
      <c r="E30" s="115"/>
      <c r="F30" s="115">
        <v>40.4</v>
      </c>
      <c r="W30">
        <f>W29+W27</f>
        <v>540</v>
      </c>
    </row>
    <row r="31" spans="1:23" ht="15" thickBot="1" x14ac:dyDescent="0.35">
      <c r="A31" s="115">
        <v>1367023</v>
      </c>
      <c r="B31" s="116">
        <v>45757</v>
      </c>
      <c r="C31" s="115" t="s">
        <v>203</v>
      </c>
      <c r="D31" s="115"/>
      <c r="E31" s="115">
        <v>50</v>
      </c>
      <c r="F31" s="115">
        <v>90.4</v>
      </c>
    </row>
    <row r="32" spans="1:23" ht="15" thickBot="1" x14ac:dyDescent="0.35">
      <c r="A32" s="117">
        <v>1367026</v>
      </c>
      <c r="B32" s="118">
        <v>45757</v>
      </c>
      <c r="C32" s="117" t="s">
        <v>204</v>
      </c>
      <c r="D32" s="117">
        <v>7.51</v>
      </c>
      <c r="E32" s="117"/>
      <c r="F32" s="117">
        <v>82.89</v>
      </c>
    </row>
    <row r="33" spans="1:6" ht="15" thickBot="1" x14ac:dyDescent="0.35">
      <c r="A33" s="115">
        <v>1369500</v>
      </c>
      <c r="B33" s="116">
        <v>45772</v>
      </c>
      <c r="C33" s="115" t="s">
        <v>205</v>
      </c>
      <c r="D33" s="115"/>
      <c r="E33" s="115">
        <v>50</v>
      </c>
      <c r="F33" s="115">
        <v>132.88999999999999</v>
      </c>
    </row>
    <row r="34" spans="1:6" ht="15" thickBot="1" x14ac:dyDescent="0.35">
      <c r="A34" s="115">
        <v>1369503</v>
      </c>
      <c r="B34" s="116">
        <v>45772</v>
      </c>
      <c r="C34" s="115" t="s">
        <v>206</v>
      </c>
      <c r="D34" s="115">
        <v>7.51</v>
      </c>
      <c r="E34" s="115"/>
      <c r="F34" s="115">
        <v>125.38</v>
      </c>
    </row>
    <row r="35" spans="1:6" ht="15" thickBot="1" x14ac:dyDescent="0.35">
      <c r="A35" s="115">
        <v>1369876</v>
      </c>
      <c r="B35" s="116">
        <v>45772</v>
      </c>
      <c r="C35" s="115" t="s">
        <v>207</v>
      </c>
      <c r="D35" s="115">
        <v>80</v>
      </c>
      <c r="E35" s="115"/>
      <c r="F35" s="115">
        <v>45.38</v>
      </c>
    </row>
    <row r="36" spans="1:6" ht="15" thickBot="1" x14ac:dyDescent="0.35">
      <c r="A36" s="115">
        <v>1370678</v>
      </c>
      <c r="B36" s="116">
        <v>45777</v>
      </c>
      <c r="C36" s="115" t="s">
        <v>107</v>
      </c>
      <c r="D36" s="115">
        <v>543</v>
      </c>
      <c r="E36" s="115"/>
      <c r="F36" s="115">
        <v>-497.62</v>
      </c>
    </row>
    <row r="37" spans="1:6" ht="15" thickBot="1" x14ac:dyDescent="0.35">
      <c r="A37" s="115">
        <v>1371978</v>
      </c>
      <c r="B37" s="116">
        <v>45777</v>
      </c>
      <c r="C37" s="115" t="s">
        <v>208</v>
      </c>
      <c r="D37" s="115">
        <v>5</v>
      </c>
      <c r="E37" s="115"/>
      <c r="F37" s="115">
        <v>-502.62</v>
      </c>
    </row>
    <row r="38" spans="1:6" x14ac:dyDescent="0.3">
      <c r="A38" s="115"/>
      <c r="B38" s="115"/>
      <c r="C38" s="115"/>
      <c r="D38" s="119">
        <v>1528.61</v>
      </c>
      <c r="E38" s="119">
        <v>550</v>
      </c>
      <c r="F38" s="119">
        <v>-502.62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16</xdr:col>
                <xdr:colOff>0</xdr:colOff>
                <xdr:row>27</xdr:row>
                <xdr:rowOff>0</xdr:rowOff>
              </from>
              <to>
                <xdr:col>16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6145" r:id="rId3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B1C1-4554-46B3-9921-BC2D0FD5F656}">
  <dimension ref="A1:W47"/>
  <sheetViews>
    <sheetView topLeftCell="I12" workbookViewId="0">
      <selection activeCell="AE45" sqref="AE45"/>
    </sheetView>
  </sheetViews>
  <sheetFormatPr defaultRowHeight="14.4" x14ac:dyDescent="0.3"/>
  <cols>
    <col min="1" max="1" width="11.77734375" customWidth="1"/>
    <col min="2" max="2" width="12.5546875" customWidth="1"/>
    <col min="4" max="4" width="12" bestFit="1" customWidth="1"/>
    <col min="5" max="6" width="9.33203125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195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194</v>
      </c>
      <c r="B7" s="110"/>
      <c r="C7" s="110"/>
      <c r="D7" s="110"/>
      <c r="E7" s="110"/>
      <c r="F7" s="110"/>
      <c r="I7" s="112" t="s">
        <v>194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204.15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50</v>
      </c>
      <c r="W10" s="115">
        <v>0</v>
      </c>
    </row>
    <row r="11" spans="1:23" ht="15" thickBot="1" x14ac:dyDescent="0.35">
      <c r="A11" s="115">
        <v>1354045</v>
      </c>
      <c r="B11" s="116">
        <v>45720</v>
      </c>
      <c r="C11" s="115" t="s">
        <v>49</v>
      </c>
      <c r="D11" s="115"/>
      <c r="E11" s="115">
        <v>150</v>
      </c>
      <c r="F11" s="115">
        <v>354.15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1354048</v>
      </c>
      <c r="B12" s="116">
        <v>45720</v>
      </c>
      <c r="C12" s="115" t="s">
        <v>50</v>
      </c>
      <c r="D12" s="115">
        <v>22.52</v>
      </c>
      <c r="E12" s="115"/>
      <c r="F12" s="115">
        <v>331.63</v>
      </c>
      <c r="Q12" s="115">
        <v>5820</v>
      </c>
      <c r="R12" s="115" t="s">
        <v>92</v>
      </c>
      <c r="S12" s="115">
        <v>-50</v>
      </c>
      <c r="T12" s="115">
        <v>50</v>
      </c>
      <c r="U12" s="115">
        <v>0</v>
      </c>
      <c r="V12" s="115">
        <v>0</v>
      </c>
      <c r="W12" s="115">
        <v>0</v>
      </c>
    </row>
    <row r="13" spans="1:23" ht="15" thickBot="1" x14ac:dyDescent="0.35">
      <c r="A13" s="115">
        <v>1354094</v>
      </c>
      <c r="B13" s="116">
        <v>45720</v>
      </c>
      <c r="C13" s="115" t="s">
        <v>73</v>
      </c>
      <c r="D13" s="115"/>
      <c r="E13" s="115">
        <v>50</v>
      </c>
      <c r="F13" s="115">
        <v>381.63</v>
      </c>
      <c r="Q13" s="115">
        <v>5821</v>
      </c>
      <c r="R13" s="115" t="s">
        <v>93</v>
      </c>
      <c r="S13" s="115">
        <v>110</v>
      </c>
      <c r="T13" s="115">
        <v>50</v>
      </c>
      <c r="U13" s="115">
        <v>160</v>
      </c>
      <c r="V13" s="115">
        <v>150</v>
      </c>
      <c r="W13" s="115">
        <v>10</v>
      </c>
    </row>
    <row r="14" spans="1:23" ht="15" thickBot="1" x14ac:dyDescent="0.35">
      <c r="A14" s="115">
        <v>1354097</v>
      </c>
      <c r="B14" s="116">
        <v>45720</v>
      </c>
      <c r="C14" s="115" t="s">
        <v>74</v>
      </c>
      <c r="D14" s="115">
        <v>7.51</v>
      </c>
      <c r="E14" s="115"/>
      <c r="F14" s="115">
        <v>374.12</v>
      </c>
      <c r="Q14" s="115">
        <v>5822</v>
      </c>
      <c r="R14" s="115" t="s">
        <v>94</v>
      </c>
      <c r="S14" s="115">
        <v>55</v>
      </c>
      <c r="T14" s="115">
        <v>50</v>
      </c>
      <c r="U14" s="115">
        <v>105</v>
      </c>
      <c r="V14" s="115">
        <v>105</v>
      </c>
      <c r="W14" s="115">
        <v>0</v>
      </c>
    </row>
    <row r="15" spans="1:23" ht="15" thickBot="1" x14ac:dyDescent="0.35">
      <c r="A15" s="115">
        <v>1354101</v>
      </c>
      <c r="B15" s="116">
        <v>45720</v>
      </c>
      <c r="C15" s="115" t="s">
        <v>61</v>
      </c>
      <c r="D15" s="115"/>
      <c r="E15" s="115">
        <v>50</v>
      </c>
      <c r="F15" s="115">
        <v>424.12</v>
      </c>
      <c r="Q15" s="115">
        <v>5823</v>
      </c>
      <c r="R15" s="115" t="s">
        <v>95</v>
      </c>
      <c r="S15" s="115">
        <v>55</v>
      </c>
      <c r="T15" s="115">
        <v>50</v>
      </c>
      <c r="U15" s="115">
        <v>105</v>
      </c>
      <c r="V15" s="115">
        <v>50</v>
      </c>
      <c r="W15" s="115">
        <v>55</v>
      </c>
    </row>
    <row r="16" spans="1:23" ht="15" thickBot="1" x14ac:dyDescent="0.35">
      <c r="A16" s="115">
        <v>1354104</v>
      </c>
      <c r="B16" s="116">
        <v>45720</v>
      </c>
      <c r="C16" s="115" t="s">
        <v>62</v>
      </c>
      <c r="D16" s="115">
        <v>7.51</v>
      </c>
      <c r="E16" s="115"/>
      <c r="F16" s="115">
        <v>416.61</v>
      </c>
      <c r="Q16" s="115">
        <v>5824</v>
      </c>
      <c r="R16" s="115" t="s">
        <v>96</v>
      </c>
      <c r="S16" s="115">
        <v>55</v>
      </c>
      <c r="T16" s="115">
        <v>50</v>
      </c>
      <c r="U16" s="115">
        <v>105</v>
      </c>
      <c r="V16" s="115">
        <v>105</v>
      </c>
      <c r="W16" s="115">
        <v>0</v>
      </c>
    </row>
    <row r="17" spans="1:23" ht="15" thickBot="1" x14ac:dyDescent="0.35">
      <c r="A17" s="115">
        <v>1354108</v>
      </c>
      <c r="B17" s="116">
        <v>45720</v>
      </c>
      <c r="C17" s="115" t="s">
        <v>59</v>
      </c>
      <c r="D17" s="115"/>
      <c r="E17" s="115">
        <v>50</v>
      </c>
      <c r="F17" s="115">
        <v>466.61</v>
      </c>
      <c r="Q17" s="115">
        <v>5825</v>
      </c>
      <c r="R17" s="115" t="s">
        <v>97</v>
      </c>
      <c r="S17" s="115">
        <v>0</v>
      </c>
      <c r="T17" s="115">
        <v>50</v>
      </c>
      <c r="U17" s="115">
        <v>50</v>
      </c>
      <c r="V17" s="115">
        <v>0</v>
      </c>
      <c r="W17" s="115">
        <v>50</v>
      </c>
    </row>
    <row r="18" spans="1:23" ht="15" thickBot="1" x14ac:dyDescent="0.35">
      <c r="A18" s="115">
        <v>1354111</v>
      </c>
      <c r="B18" s="116">
        <v>45720</v>
      </c>
      <c r="C18" s="115" t="s">
        <v>60</v>
      </c>
      <c r="D18" s="115">
        <v>7.51</v>
      </c>
      <c r="E18" s="115"/>
      <c r="F18" s="115">
        <v>459.1</v>
      </c>
      <c r="Q18" s="115">
        <v>5826</v>
      </c>
      <c r="R18" s="115" t="s">
        <v>98</v>
      </c>
      <c r="S18" s="115">
        <v>55</v>
      </c>
      <c r="T18" s="115">
        <v>50</v>
      </c>
      <c r="U18" s="115">
        <v>105</v>
      </c>
      <c r="V18" s="115">
        <v>0</v>
      </c>
      <c r="W18" s="115">
        <v>105</v>
      </c>
    </row>
    <row r="19" spans="1:23" ht="15" thickBot="1" x14ac:dyDescent="0.35">
      <c r="A19" s="115">
        <v>1354115</v>
      </c>
      <c r="B19" s="116">
        <v>45720</v>
      </c>
      <c r="C19" s="115" t="s">
        <v>51</v>
      </c>
      <c r="D19" s="115"/>
      <c r="E19" s="115">
        <v>50</v>
      </c>
      <c r="F19" s="115">
        <v>509.1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1354118</v>
      </c>
      <c r="B20" s="116">
        <v>45720</v>
      </c>
      <c r="C20" s="115" t="s">
        <v>52</v>
      </c>
      <c r="D20" s="115">
        <v>7.51</v>
      </c>
      <c r="E20" s="115"/>
      <c r="F20" s="115">
        <v>501.59</v>
      </c>
      <c r="Q20" s="115">
        <v>5828</v>
      </c>
      <c r="R20" s="115" t="s">
        <v>100</v>
      </c>
      <c r="S20" s="115">
        <v>20</v>
      </c>
      <c r="T20" s="115">
        <v>50</v>
      </c>
      <c r="U20" s="115">
        <v>70</v>
      </c>
      <c r="V20" s="115">
        <v>50</v>
      </c>
      <c r="W20" s="115">
        <v>20</v>
      </c>
    </row>
    <row r="21" spans="1:23" ht="15" thickBot="1" x14ac:dyDescent="0.35">
      <c r="A21" s="115">
        <v>1354122</v>
      </c>
      <c r="B21" s="116">
        <v>45720</v>
      </c>
      <c r="C21" s="115" t="s">
        <v>63</v>
      </c>
      <c r="D21" s="115"/>
      <c r="E21" s="115">
        <v>50</v>
      </c>
      <c r="F21" s="115">
        <v>551.59</v>
      </c>
      <c r="Q21" s="117">
        <v>5829</v>
      </c>
      <c r="R21" s="117" t="s">
        <v>101</v>
      </c>
      <c r="S21" s="117">
        <v>0</v>
      </c>
      <c r="T21" s="117">
        <v>50</v>
      </c>
      <c r="U21" s="117">
        <v>50</v>
      </c>
      <c r="V21" s="117">
        <v>50</v>
      </c>
      <c r="W21" s="117">
        <v>0</v>
      </c>
    </row>
    <row r="22" spans="1:23" ht="15" thickBot="1" x14ac:dyDescent="0.35">
      <c r="A22" s="115">
        <v>1354125</v>
      </c>
      <c r="B22" s="116">
        <v>45720</v>
      </c>
      <c r="C22" s="115" t="s">
        <v>64</v>
      </c>
      <c r="D22" s="115">
        <v>7.51</v>
      </c>
      <c r="E22" s="115"/>
      <c r="F22" s="115">
        <v>544.08000000000004</v>
      </c>
      <c r="Q22" s="115">
        <v>5830</v>
      </c>
      <c r="R22" s="115" t="s">
        <v>102</v>
      </c>
      <c r="S22" s="115">
        <v>-150</v>
      </c>
      <c r="T22" s="115">
        <v>50</v>
      </c>
      <c r="U22" s="115">
        <v>-100</v>
      </c>
      <c r="V22" s="115">
        <v>0</v>
      </c>
      <c r="W22" s="115">
        <v>-100</v>
      </c>
    </row>
    <row r="23" spans="1:23" ht="15" thickBot="1" x14ac:dyDescent="0.35">
      <c r="A23" s="115">
        <v>1354129</v>
      </c>
      <c r="B23" s="116">
        <v>45720</v>
      </c>
      <c r="C23" s="115" t="s">
        <v>69</v>
      </c>
      <c r="D23" s="115"/>
      <c r="E23" s="115">
        <v>50</v>
      </c>
      <c r="F23" s="115">
        <v>594.08000000000004</v>
      </c>
      <c r="Q23" s="115">
        <v>5831</v>
      </c>
      <c r="R23" s="115" t="s">
        <v>103</v>
      </c>
      <c r="S23" s="115">
        <v>0</v>
      </c>
      <c r="T23" s="115">
        <v>50</v>
      </c>
      <c r="U23" s="115">
        <v>50</v>
      </c>
      <c r="V23" s="115">
        <v>50</v>
      </c>
      <c r="W23" s="115">
        <v>0</v>
      </c>
    </row>
    <row r="24" spans="1:23" ht="15" thickBot="1" x14ac:dyDescent="0.35">
      <c r="A24" s="115">
        <v>1354132</v>
      </c>
      <c r="B24" s="116">
        <v>45720</v>
      </c>
      <c r="C24" s="115" t="s">
        <v>70</v>
      </c>
      <c r="D24" s="115">
        <v>7.51</v>
      </c>
      <c r="E24" s="115"/>
      <c r="F24" s="115">
        <v>586.57000000000005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1354136</v>
      </c>
      <c r="B25" s="116">
        <v>45720</v>
      </c>
      <c r="C25" s="115" t="s">
        <v>51</v>
      </c>
      <c r="D25" s="115"/>
      <c r="E25" s="115">
        <v>55</v>
      </c>
      <c r="F25" s="115">
        <v>641.57000000000005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1354139</v>
      </c>
      <c r="B26" s="116">
        <v>45720</v>
      </c>
      <c r="C26" s="115" t="s">
        <v>52</v>
      </c>
      <c r="D26" s="115">
        <v>8.26</v>
      </c>
      <c r="E26" s="115"/>
      <c r="F26" s="115">
        <v>633.30999999999995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1354143</v>
      </c>
      <c r="B27" s="116">
        <v>45720</v>
      </c>
      <c r="C27" s="115" t="s">
        <v>67</v>
      </c>
      <c r="D27" s="115"/>
      <c r="E27" s="115">
        <v>50</v>
      </c>
      <c r="F27" s="115">
        <v>683.31</v>
      </c>
      <c r="Q27" s="115"/>
      <c r="R27" s="115"/>
      <c r="S27" s="121">
        <v>150</v>
      </c>
      <c r="T27" s="121">
        <v>850</v>
      </c>
      <c r="U27" s="121">
        <v>1000</v>
      </c>
      <c r="V27" s="121">
        <v>860</v>
      </c>
      <c r="W27" s="121">
        <v>140</v>
      </c>
    </row>
    <row r="28" spans="1:23" ht="15" thickBot="1" x14ac:dyDescent="0.35">
      <c r="A28" s="115">
        <v>1354146</v>
      </c>
      <c r="B28" s="116">
        <v>45720</v>
      </c>
      <c r="C28" s="115" t="s">
        <v>68</v>
      </c>
      <c r="D28" s="115">
        <v>7.51</v>
      </c>
      <c r="E28" s="115"/>
      <c r="F28" s="115">
        <v>675.8</v>
      </c>
      <c r="W28">
        <f>W22</f>
        <v>-100</v>
      </c>
    </row>
    <row r="29" spans="1:23" ht="15" thickBot="1" x14ac:dyDescent="0.35">
      <c r="A29" s="115">
        <v>1354150</v>
      </c>
      <c r="B29" s="116">
        <v>45720</v>
      </c>
      <c r="C29" s="115" t="s">
        <v>55</v>
      </c>
      <c r="D29" s="115"/>
      <c r="E29" s="115">
        <v>50</v>
      </c>
      <c r="F29" s="115">
        <v>725.8</v>
      </c>
      <c r="W29">
        <f>W28*-1</f>
        <v>100</v>
      </c>
    </row>
    <row r="30" spans="1:23" ht="15" thickBot="1" x14ac:dyDescent="0.35">
      <c r="A30" s="115">
        <v>1354153</v>
      </c>
      <c r="B30" s="116">
        <v>45720</v>
      </c>
      <c r="C30" s="115" t="s">
        <v>56</v>
      </c>
      <c r="D30" s="115">
        <v>7.51</v>
      </c>
      <c r="E30" s="115"/>
      <c r="F30" s="115">
        <v>718.29</v>
      </c>
      <c r="W30">
        <f>W27+W29</f>
        <v>240</v>
      </c>
    </row>
    <row r="31" spans="1:23" ht="15" thickBot="1" x14ac:dyDescent="0.35">
      <c r="A31" s="115">
        <v>1354157</v>
      </c>
      <c r="B31" s="116">
        <v>45720</v>
      </c>
      <c r="C31" s="115" t="s">
        <v>182</v>
      </c>
      <c r="D31" s="115"/>
      <c r="E31" s="115">
        <v>5</v>
      </c>
      <c r="F31" s="115">
        <v>723.29</v>
      </c>
    </row>
    <row r="32" spans="1:23" ht="15" thickBot="1" x14ac:dyDescent="0.35">
      <c r="A32" s="115">
        <v>1354160</v>
      </c>
      <c r="B32" s="116">
        <v>45720</v>
      </c>
      <c r="C32" s="115" t="s">
        <v>183</v>
      </c>
      <c r="D32" s="115">
        <v>0.75</v>
      </c>
      <c r="E32" s="115"/>
      <c r="F32" s="115">
        <v>722.54</v>
      </c>
    </row>
    <row r="33" spans="1:6" ht="15" thickBot="1" x14ac:dyDescent="0.35">
      <c r="A33" s="115">
        <v>1354164</v>
      </c>
      <c r="B33" s="116">
        <v>45720</v>
      </c>
      <c r="C33" s="115" t="s">
        <v>53</v>
      </c>
      <c r="D33" s="115"/>
      <c r="E33" s="115">
        <v>50</v>
      </c>
      <c r="F33" s="115">
        <v>772.54</v>
      </c>
    </row>
    <row r="34" spans="1:6" ht="15" thickBot="1" x14ac:dyDescent="0.35">
      <c r="A34" s="115">
        <v>1354167</v>
      </c>
      <c r="B34" s="116">
        <v>45720</v>
      </c>
      <c r="C34" s="115" t="s">
        <v>54</v>
      </c>
      <c r="D34" s="115">
        <v>7.51</v>
      </c>
      <c r="E34" s="115"/>
      <c r="F34" s="115">
        <v>765.03</v>
      </c>
    </row>
    <row r="35" spans="1:6" ht="15" thickBot="1" x14ac:dyDescent="0.35">
      <c r="A35" s="115">
        <v>1354171</v>
      </c>
      <c r="B35" s="116">
        <v>45720</v>
      </c>
      <c r="C35" s="115" t="s">
        <v>45</v>
      </c>
      <c r="D35" s="115"/>
      <c r="E35" s="115">
        <v>50</v>
      </c>
      <c r="F35" s="115">
        <v>815.03</v>
      </c>
    </row>
    <row r="36" spans="1:6" ht="15" thickBot="1" x14ac:dyDescent="0.35">
      <c r="A36" s="115">
        <v>1354174</v>
      </c>
      <c r="B36" s="116">
        <v>45720</v>
      </c>
      <c r="C36" s="115" t="s">
        <v>46</v>
      </c>
      <c r="D36" s="115">
        <v>7.51</v>
      </c>
      <c r="E36" s="115"/>
      <c r="F36" s="115">
        <v>807.52</v>
      </c>
    </row>
    <row r="37" spans="1:6" ht="15" thickBot="1" x14ac:dyDescent="0.35">
      <c r="A37" s="115">
        <v>1358079</v>
      </c>
      <c r="B37" s="116">
        <v>45722</v>
      </c>
      <c r="C37" s="115" t="s">
        <v>184</v>
      </c>
      <c r="D37" s="115">
        <v>30</v>
      </c>
      <c r="E37" s="115"/>
      <c r="F37" s="115">
        <v>777.52</v>
      </c>
    </row>
    <row r="38" spans="1:6" ht="15" thickBot="1" x14ac:dyDescent="0.35">
      <c r="A38" s="115">
        <v>1358081</v>
      </c>
      <c r="B38" s="116">
        <v>45722</v>
      </c>
      <c r="C38" s="115" t="s">
        <v>185</v>
      </c>
      <c r="D38" s="115">
        <v>276</v>
      </c>
      <c r="E38" s="115"/>
      <c r="F38" s="115">
        <v>501.52</v>
      </c>
    </row>
    <row r="39" spans="1:6" ht="15" thickBot="1" x14ac:dyDescent="0.35">
      <c r="A39" s="115">
        <v>1355691</v>
      </c>
      <c r="B39" s="116">
        <v>45723</v>
      </c>
      <c r="C39" s="115" t="s">
        <v>186</v>
      </c>
      <c r="D39" s="115"/>
      <c r="E39" s="115">
        <v>50</v>
      </c>
      <c r="F39" s="115">
        <v>551.52</v>
      </c>
    </row>
    <row r="40" spans="1:6" ht="15" thickBot="1" x14ac:dyDescent="0.35">
      <c r="A40" s="115">
        <v>1355694</v>
      </c>
      <c r="B40" s="116">
        <v>45723</v>
      </c>
      <c r="C40" s="115" t="s">
        <v>187</v>
      </c>
      <c r="D40" s="115">
        <v>7.51</v>
      </c>
      <c r="E40" s="115"/>
      <c r="F40" s="115">
        <v>544.01</v>
      </c>
    </row>
    <row r="41" spans="1:6" ht="15" thickBot="1" x14ac:dyDescent="0.35">
      <c r="A41" s="115">
        <v>1355711</v>
      </c>
      <c r="B41" s="116">
        <v>45723</v>
      </c>
      <c r="C41" s="115" t="s">
        <v>188</v>
      </c>
      <c r="D41" s="115"/>
      <c r="E41" s="115">
        <v>50</v>
      </c>
      <c r="F41" s="115">
        <v>594.01</v>
      </c>
    </row>
    <row r="42" spans="1:6" ht="15" thickBot="1" x14ac:dyDescent="0.35">
      <c r="A42" s="115">
        <v>1355714</v>
      </c>
      <c r="B42" s="116">
        <v>45723</v>
      </c>
      <c r="C42" s="115" t="s">
        <v>189</v>
      </c>
      <c r="D42" s="115">
        <v>7.51</v>
      </c>
      <c r="E42" s="115"/>
      <c r="F42" s="115">
        <v>586.5</v>
      </c>
    </row>
    <row r="43" spans="1:6" ht="15" thickBot="1" x14ac:dyDescent="0.35">
      <c r="A43" s="115">
        <v>1356588</v>
      </c>
      <c r="B43" s="116">
        <v>45726</v>
      </c>
      <c r="C43" s="115" t="s">
        <v>190</v>
      </c>
      <c r="D43" s="115"/>
      <c r="E43" s="115">
        <v>50</v>
      </c>
      <c r="F43" s="115">
        <v>636.5</v>
      </c>
    </row>
    <row r="44" spans="1:6" ht="15" thickBot="1" x14ac:dyDescent="0.35">
      <c r="A44" s="115">
        <v>1356591</v>
      </c>
      <c r="B44" s="116">
        <v>45726</v>
      </c>
      <c r="C44" s="115" t="s">
        <v>191</v>
      </c>
      <c r="D44" s="115">
        <v>7.51</v>
      </c>
      <c r="E44" s="115"/>
      <c r="F44" s="115">
        <v>628.99</v>
      </c>
    </row>
    <row r="45" spans="1:6" ht="15" thickBot="1" x14ac:dyDescent="0.35">
      <c r="A45" s="117">
        <v>1358168</v>
      </c>
      <c r="B45" s="118">
        <v>45727</v>
      </c>
      <c r="C45" s="117" t="s">
        <v>192</v>
      </c>
      <c r="D45" s="117">
        <v>13</v>
      </c>
      <c r="E45" s="117"/>
      <c r="F45" s="117">
        <v>615.99</v>
      </c>
    </row>
    <row r="46" spans="1:6" ht="15" thickBot="1" x14ac:dyDescent="0.35">
      <c r="A46" s="115">
        <v>1359182</v>
      </c>
      <c r="B46" s="116">
        <v>45735</v>
      </c>
      <c r="C46" s="115" t="s">
        <v>193</v>
      </c>
      <c r="D46" s="115">
        <v>140</v>
      </c>
      <c r="E46" s="115"/>
      <c r="F46" s="115">
        <v>475.99</v>
      </c>
    </row>
    <row r="47" spans="1:6" x14ac:dyDescent="0.3">
      <c r="A47" s="115"/>
      <c r="B47" s="115"/>
      <c r="C47" s="115"/>
      <c r="D47" s="119">
        <v>588.16</v>
      </c>
      <c r="E47" s="119">
        <v>860</v>
      </c>
      <c r="F47" s="119">
        <v>475.99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0294-EE9C-47E2-96E2-34690DC89734}">
  <dimension ref="A1:W41"/>
  <sheetViews>
    <sheetView topLeftCell="A26" workbookViewId="0">
      <selection activeCell="I38" sqref="I38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178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177</v>
      </c>
      <c r="B7" s="110"/>
      <c r="C7" s="110"/>
      <c r="D7" s="110"/>
      <c r="E7" s="110"/>
      <c r="F7" s="110"/>
      <c r="I7" s="112" t="s">
        <v>177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4.8099999999999996</v>
      </c>
      <c r="G10">
        <f>F10</f>
        <v>4.8099999999999996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50</v>
      </c>
      <c r="W10" s="115">
        <v>0</v>
      </c>
    </row>
    <row r="11" spans="1:23" ht="15" thickBot="1" x14ac:dyDescent="0.35">
      <c r="A11" s="115">
        <v>1349605</v>
      </c>
      <c r="B11" s="116">
        <v>45691</v>
      </c>
      <c r="C11" s="115" t="s">
        <v>69</v>
      </c>
      <c r="D11" s="115"/>
      <c r="E11" s="115">
        <v>50</v>
      </c>
      <c r="F11" s="115">
        <v>54.81</v>
      </c>
      <c r="G11">
        <f>G10+E11-D11</f>
        <v>54.81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1349608</v>
      </c>
      <c r="B12" s="116">
        <v>45691</v>
      </c>
      <c r="C12" s="115" t="s">
        <v>70</v>
      </c>
      <c r="D12" s="115">
        <v>7.51</v>
      </c>
      <c r="E12" s="115"/>
      <c r="F12" s="115">
        <v>47.3</v>
      </c>
      <c r="G12">
        <f t="shared" ref="G12:G40" si="0">G11+E12-D12</f>
        <v>47.300000000000004</v>
      </c>
      <c r="Q12" s="115">
        <v>5820</v>
      </c>
      <c r="R12" s="115" t="s">
        <v>92</v>
      </c>
      <c r="S12" s="115">
        <v>250</v>
      </c>
      <c r="T12" s="115">
        <v>50</v>
      </c>
      <c r="U12" s="115">
        <v>300</v>
      </c>
      <c r="V12" s="115">
        <v>350</v>
      </c>
      <c r="W12" s="115">
        <v>-50</v>
      </c>
    </row>
    <row r="13" spans="1:23" ht="15" thickBot="1" x14ac:dyDescent="0.35">
      <c r="A13" s="115">
        <v>1344234</v>
      </c>
      <c r="B13" s="116">
        <v>45692</v>
      </c>
      <c r="C13" s="115" t="s">
        <v>151</v>
      </c>
      <c r="D13" s="115"/>
      <c r="E13" s="115">
        <v>50</v>
      </c>
      <c r="F13" s="115">
        <v>97.3</v>
      </c>
      <c r="G13">
        <f t="shared" si="0"/>
        <v>97.300000000000011</v>
      </c>
      <c r="Q13" s="115">
        <v>5821</v>
      </c>
      <c r="R13" s="115" t="s">
        <v>93</v>
      </c>
      <c r="S13" s="115">
        <v>50</v>
      </c>
      <c r="T13" s="115">
        <v>60</v>
      </c>
      <c r="U13" s="115">
        <v>110</v>
      </c>
      <c r="V13" s="115">
        <v>0</v>
      </c>
      <c r="W13" s="115">
        <v>110</v>
      </c>
    </row>
    <row r="14" spans="1:23" ht="15" thickBot="1" x14ac:dyDescent="0.35">
      <c r="A14" s="115">
        <v>1344237</v>
      </c>
      <c r="B14" s="116">
        <v>45692</v>
      </c>
      <c r="C14" s="115" t="s">
        <v>152</v>
      </c>
      <c r="D14" s="115">
        <v>7.51</v>
      </c>
      <c r="E14" s="115"/>
      <c r="F14" s="115">
        <v>89.79</v>
      </c>
      <c r="G14">
        <f t="shared" si="0"/>
        <v>89.79</v>
      </c>
      <c r="Q14" s="115">
        <v>5822</v>
      </c>
      <c r="R14" s="115" t="s">
        <v>94</v>
      </c>
      <c r="S14" s="115">
        <v>0</v>
      </c>
      <c r="T14" s="115">
        <v>55</v>
      </c>
      <c r="U14" s="115">
        <v>55</v>
      </c>
      <c r="V14" s="115">
        <v>0</v>
      </c>
      <c r="W14" s="115">
        <v>55</v>
      </c>
    </row>
    <row r="15" spans="1:23" ht="15" thickBot="1" x14ac:dyDescent="0.35">
      <c r="A15" s="115">
        <v>1344255</v>
      </c>
      <c r="B15" s="116">
        <v>45692</v>
      </c>
      <c r="C15" s="115" t="s">
        <v>153</v>
      </c>
      <c r="D15" s="115"/>
      <c r="E15" s="115">
        <v>50</v>
      </c>
      <c r="F15" s="115">
        <v>139.79</v>
      </c>
      <c r="G15">
        <f t="shared" si="0"/>
        <v>139.79000000000002</v>
      </c>
      <c r="Q15" s="115">
        <v>5823</v>
      </c>
      <c r="R15" s="115" t="s">
        <v>95</v>
      </c>
      <c r="S15" s="115">
        <v>0</v>
      </c>
      <c r="T15" s="115">
        <v>55</v>
      </c>
      <c r="U15" s="115">
        <v>55</v>
      </c>
      <c r="V15" s="115">
        <v>0</v>
      </c>
      <c r="W15" s="115">
        <v>55</v>
      </c>
    </row>
    <row r="16" spans="1:23" ht="15" thickBot="1" x14ac:dyDescent="0.35">
      <c r="A16" s="115">
        <v>1344258</v>
      </c>
      <c r="B16" s="116">
        <v>45692</v>
      </c>
      <c r="C16" s="115" t="s">
        <v>154</v>
      </c>
      <c r="D16" s="115">
        <v>7.51</v>
      </c>
      <c r="E16" s="115"/>
      <c r="F16" s="115">
        <v>132.28</v>
      </c>
      <c r="G16">
        <f t="shared" si="0"/>
        <v>132.28000000000003</v>
      </c>
      <c r="Q16" s="115">
        <v>5824</v>
      </c>
      <c r="R16" s="115" t="s">
        <v>96</v>
      </c>
      <c r="S16" s="115">
        <v>0</v>
      </c>
      <c r="T16" s="115">
        <v>55</v>
      </c>
      <c r="U16" s="115">
        <v>55</v>
      </c>
      <c r="V16" s="115">
        <v>0</v>
      </c>
      <c r="W16" s="115">
        <v>55</v>
      </c>
    </row>
    <row r="17" spans="1:23" ht="15" thickBot="1" x14ac:dyDescent="0.35">
      <c r="A17" s="115">
        <v>1344262</v>
      </c>
      <c r="B17" s="116">
        <v>45692</v>
      </c>
      <c r="C17" s="115" t="s">
        <v>155</v>
      </c>
      <c r="D17" s="115"/>
      <c r="E17" s="115">
        <v>50</v>
      </c>
      <c r="F17" s="115">
        <v>182.28</v>
      </c>
      <c r="G17">
        <f t="shared" si="0"/>
        <v>182.28000000000003</v>
      </c>
      <c r="Q17" s="115">
        <v>5825</v>
      </c>
      <c r="R17" s="115" t="s">
        <v>97</v>
      </c>
      <c r="S17" s="115">
        <v>100</v>
      </c>
      <c r="T17" s="115">
        <v>50</v>
      </c>
      <c r="U17" s="115">
        <v>150</v>
      </c>
      <c r="V17" s="115">
        <v>150</v>
      </c>
      <c r="W17" s="115">
        <v>0</v>
      </c>
    </row>
    <row r="18" spans="1:23" ht="15" thickBot="1" x14ac:dyDescent="0.35">
      <c r="A18" s="115">
        <v>1344265</v>
      </c>
      <c r="B18" s="116">
        <v>45692</v>
      </c>
      <c r="C18" s="115" t="s">
        <v>156</v>
      </c>
      <c r="D18" s="115">
        <v>7.51</v>
      </c>
      <c r="E18" s="115"/>
      <c r="F18" s="115">
        <v>174.77</v>
      </c>
      <c r="G18">
        <f t="shared" si="0"/>
        <v>174.77000000000004</v>
      </c>
      <c r="Q18" s="115">
        <v>5826</v>
      </c>
      <c r="R18" s="115" t="s">
        <v>98</v>
      </c>
      <c r="S18" s="115">
        <v>50</v>
      </c>
      <c r="T18" s="115">
        <v>55</v>
      </c>
      <c r="U18" s="115">
        <v>105</v>
      </c>
      <c r="V18" s="115">
        <v>50</v>
      </c>
      <c r="W18" s="115">
        <v>55</v>
      </c>
    </row>
    <row r="19" spans="1:23" ht="15" thickBot="1" x14ac:dyDescent="0.35">
      <c r="A19" s="115">
        <v>1344269</v>
      </c>
      <c r="B19" s="116">
        <v>45692</v>
      </c>
      <c r="C19" s="115" t="s">
        <v>157</v>
      </c>
      <c r="D19" s="115"/>
      <c r="E19" s="115">
        <v>50</v>
      </c>
      <c r="F19" s="115">
        <v>224.77</v>
      </c>
      <c r="G19">
        <f t="shared" si="0"/>
        <v>224.77000000000004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1344272</v>
      </c>
      <c r="B20" s="116">
        <v>45692</v>
      </c>
      <c r="C20" s="115" t="s">
        <v>158</v>
      </c>
      <c r="D20" s="115">
        <v>7.51</v>
      </c>
      <c r="E20" s="115"/>
      <c r="F20" s="115">
        <v>217.26</v>
      </c>
      <c r="G20">
        <f t="shared" si="0"/>
        <v>217.26000000000005</v>
      </c>
      <c r="Q20" s="115">
        <v>5828</v>
      </c>
      <c r="R20" s="115" t="s">
        <v>100</v>
      </c>
      <c r="S20" s="115">
        <v>-30</v>
      </c>
      <c r="T20" s="115">
        <v>50</v>
      </c>
      <c r="U20" s="115">
        <v>20</v>
      </c>
      <c r="V20" s="115">
        <v>0</v>
      </c>
      <c r="W20" s="115">
        <v>20</v>
      </c>
    </row>
    <row r="21" spans="1:23" ht="15" thickBot="1" x14ac:dyDescent="0.35">
      <c r="A21" s="115">
        <v>1344283</v>
      </c>
      <c r="B21" s="116">
        <v>45692</v>
      </c>
      <c r="C21" s="115" t="s">
        <v>159</v>
      </c>
      <c r="D21" s="115"/>
      <c r="E21" s="115">
        <v>100</v>
      </c>
      <c r="F21" s="115">
        <v>317.26</v>
      </c>
      <c r="G21">
        <f t="shared" si="0"/>
        <v>317.26000000000005</v>
      </c>
      <c r="Q21" s="115">
        <v>5829</v>
      </c>
      <c r="R21" s="115" t="s">
        <v>101</v>
      </c>
      <c r="S21" s="115">
        <v>0</v>
      </c>
      <c r="T21" s="115">
        <v>50</v>
      </c>
      <c r="U21" s="115">
        <v>50</v>
      </c>
      <c r="V21" s="115">
        <v>50</v>
      </c>
      <c r="W21" s="115">
        <v>0</v>
      </c>
    </row>
    <row r="22" spans="1:23" ht="15" thickBot="1" x14ac:dyDescent="0.35">
      <c r="A22" s="115">
        <v>1344286</v>
      </c>
      <c r="B22" s="116">
        <v>45692</v>
      </c>
      <c r="C22" s="115" t="s">
        <v>160</v>
      </c>
      <c r="D22" s="115">
        <v>15.01</v>
      </c>
      <c r="E22" s="115"/>
      <c r="F22" s="115">
        <v>302.25</v>
      </c>
      <c r="G22">
        <f t="shared" si="0"/>
        <v>302.25000000000006</v>
      </c>
      <c r="Q22" s="115">
        <v>5830</v>
      </c>
      <c r="R22" s="115" t="s">
        <v>102</v>
      </c>
      <c r="S22" s="115">
        <v>-100</v>
      </c>
      <c r="T22" s="115">
        <v>50</v>
      </c>
      <c r="U22" s="115">
        <v>-50</v>
      </c>
      <c r="V22" s="115">
        <v>100</v>
      </c>
      <c r="W22" s="115">
        <v>-150</v>
      </c>
    </row>
    <row r="23" spans="1:23" ht="15" thickBot="1" x14ac:dyDescent="0.35">
      <c r="A23" s="115">
        <v>1344290</v>
      </c>
      <c r="B23" s="116">
        <v>45692</v>
      </c>
      <c r="C23" s="115" t="s">
        <v>161</v>
      </c>
      <c r="D23" s="115"/>
      <c r="E23" s="115">
        <v>50</v>
      </c>
      <c r="F23" s="115">
        <v>352.25</v>
      </c>
      <c r="G23">
        <f t="shared" si="0"/>
        <v>352.25000000000006</v>
      </c>
      <c r="Q23" s="117">
        <v>5831</v>
      </c>
      <c r="R23" s="117" t="s">
        <v>103</v>
      </c>
      <c r="S23" s="117">
        <v>0</v>
      </c>
      <c r="T23" s="117">
        <v>50</v>
      </c>
      <c r="U23" s="117">
        <v>50</v>
      </c>
      <c r="V23" s="117">
        <v>50</v>
      </c>
      <c r="W23" s="117">
        <v>0</v>
      </c>
    </row>
    <row r="24" spans="1:23" ht="15" thickBot="1" x14ac:dyDescent="0.35">
      <c r="A24" s="115">
        <v>1344293</v>
      </c>
      <c r="B24" s="116">
        <v>45692</v>
      </c>
      <c r="C24" s="115" t="s">
        <v>162</v>
      </c>
      <c r="D24" s="115">
        <v>7.51</v>
      </c>
      <c r="E24" s="115"/>
      <c r="F24" s="115">
        <v>344.74</v>
      </c>
      <c r="G24">
        <f t="shared" si="0"/>
        <v>344.74000000000007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1344297</v>
      </c>
      <c r="B25" s="116">
        <v>45692</v>
      </c>
      <c r="C25" s="115" t="s">
        <v>163</v>
      </c>
      <c r="D25" s="115"/>
      <c r="E25" s="115">
        <v>50</v>
      </c>
      <c r="F25" s="115">
        <v>394.74</v>
      </c>
      <c r="G25">
        <f t="shared" si="0"/>
        <v>394.74000000000007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1344300</v>
      </c>
      <c r="B26" s="116">
        <v>45692</v>
      </c>
      <c r="C26" s="115" t="s">
        <v>164</v>
      </c>
      <c r="D26" s="115">
        <v>7.51</v>
      </c>
      <c r="E26" s="115"/>
      <c r="F26" s="115">
        <v>387.23</v>
      </c>
      <c r="G26">
        <f t="shared" si="0"/>
        <v>387.23000000000008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1344304</v>
      </c>
      <c r="B27" s="116">
        <v>45692</v>
      </c>
      <c r="C27" s="115" t="s">
        <v>165</v>
      </c>
      <c r="D27" s="115"/>
      <c r="E27" s="115">
        <v>50</v>
      </c>
      <c r="F27" s="115">
        <v>437.23</v>
      </c>
      <c r="G27">
        <f t="shared" si="0"/>
        <v>437.23000000000008</v>
      </c>
      <c r="Q27" s="115"/>
      <c r="R27" s="115"/>
      <c r="S27" s="121">
        <v>320</v>
      </c>
      <c r="T27" s="121">
        <v>880</v>
      </c>
      <c r="U27" s="121">
        <v>1200</v>
      </c>
      <c r="V27" s="121">
        <v>1050</v>
      </c>
      <c r="W27" s="121">
        <v>150</v>
      </c>
    </row>
    <row r="28" spans="1:23" ht="15" thickBot="1" x14ac:dyDescent="0.35">
      <c r="A28" s="115">
        <v>1344307</v>
      </c>
      <c r="B28" s="116">
        <v>45692</v>
      </c>
      <c r="C28" s="115" t="s">
        <v>166</v>
      </c>
      <c r="D28" s="115">
        <v>7.51</v>
      </c>
      <c r="E28" s="115"/>
      <c r="F28" s="115">
        <v>429.72</v>
      </c>
      <c r="G28">
        <f t="shared" si="0"/>
        <v>429.72000000000008</v>
      </c>
      <c r="W28">
        <f>W12+W22</f>
        <v>-200</v>
      </c>
    </row>
    <row r="29" spans="1:23" ht="15" thickBot="1" x14ac:dyDescent="0.35">
      <c r="A29" s="115">
        <v>1346552</v>
      </c>
      <c r="B29" s="116">
        <v>45698</v>
      </c>
      <c r="C29" s="115" t="s">
        <v>167</v>
      </c>
      <c r="D29" s="115"/>
      <c r="E29" s="115">
        <v>50</v>
      </c>
      <c r="F29" s="115">
        <v>479.72</v>
      </c>
      <c r="G29">
        <f t="shared" si="0"/>
        <v>479.72000000000008</v>
      </c>
      <c r="W29">
        <f>W28*-1</f>
        <v>200</v>
      </c>
    </row>
    <row r="30" spans="1:23" ht="15" thickBot="1" x14ac:dyDescent="0.35">
      <c r="A30" s="115">
        <v>1346555</v>
      </c>
      <c r="B30" s="116">
        <v>45698</v>
      </c>
      <c r="C30" s="115" t="s">
        <v>168</v>
      </c>
      <c r="D30" s="115">
        <v>7.51</v>
      </c>
      <c r="E30" s="115"/>
      <c r="F30" s="115">
        <v>472.21</v>
      </c>
      <c r="G30">
        <f t="shared" si="0"/>
        <v>472.21000000000009</v>
      </c>
      <c r="W30">
        <f>W29+W27</f>
        <v>350</v>
      </c>
    </row>
    <row r="31" spans="1:23" ht="15" thickBot="1" x14ac:dyDescent="0.35">
      <c r="A31" s="115">
        <v>1347609</v>
      </c>
      <c r="B31" s="116">
        <v>45700</v>
      </c>
      <c r="C31" s="115" t="s">
        <v>169</v>
      </c>
      <c r="D31" s="115"/>
      <c r="E31" s="115">
        <v>50</v>
      </c>
      <c r="F31" s="115">
        <v>522.21</v>
      </c>
      <c r="G31">
        <f t="shared" si="0"/>
        <v>522.21</v>
      </c>
    </row>
    <row r="32" spans="1:23" ht="15" thickBot="1" x14ac:dyDescent="0.35">
      <c r="A32" s="115">
        <v>1347612</v>
      </c>
      <c r="B32" s="116">
        <v>45700</v>
      </c>
      <c r="C32" s="115" t="s">
        <v>170</v>
      </c>
      <c r="D32" s="115">
        <v>7.51</v>
      </c>
      <c r="E32" s="115"/>
      <c r="F32" s="115">
        <v>514.70000000000005</v>
      </c>
      <c r="G32">
        <f t="shared" si="0"/>
        <v>514.70000000000005</v>
      </c>
    </row>
    <row r="33" spans="1:7" ht="15" thickBot="1" x14ac:dyDescent="0.35">
      <c r="A33" s="115">
        <v>1351050</v>
      </c>
      <c r="B33" s="116">
        <v>45708</v>
      </c>
      <c r="C33" s="115" t="s">
        <v>57</v>
      </c>
      <c r="D33" s="115"/>
      <c r="E33" s="115">
        <v>150</v>
      </c>
      <c r="F33" s="115">
        <v>664.7</v>
      </c>
      <c r="G33">
        <f t="shared" si="0"/>
        <v>664.7</v>
      </c>
    </row>
    <row r="34" spans="1:7" ht="15" thickBot="1" x14ac:dyDescent="0.35">
      <c r="A34" s="115">
        <v>1351053</v>
      </c>
      <c r="B34" s="116">
        <v>45708</v>
      </c>
      <c r="C34" s="115" t="s">
        <v>58</v>
      </c>
      <c r="D34" s="115">
        <v>22.52</v>
      </c>
      <c r="E34" s="115"/>
      <c r="F34" s="115">
        <v>642.17999999999995</v>
      </c>
      <c r="G34">
        <f t="shared" si="0"/>
        <v>642.18000000000006</v>
      </c>
    </row>
    <row r="35" spans="1:7" ht="15" thickBot="1" x14ac:dyDescent="0.35">
      <c r="A35" s="115">
        <v>1350585</v>
      </c>
      <c r="B35" s="116">
        <v>45714</v>
      </c>
      <c r="C35" s="115" t="s">
        <v>171</v>
      </c>
      <c r="D35" s="115"/>
      <c r="E35" s="115">
        <v>250</v>
      </c>
      <c r="F35" s="115">
        <v>892.18</v>
      </c>
      <c r="G35">
        <f t="shared" si="0"/>
        <v>892.18000000000006</v>
      </c>
    </row>
    <row r="36" spans="1:7" ht="15" thickBot="1" x14ac:dyDescent="0.35">
      <c r="A36" s="117">
        <v>1350588</v>
      </c>
      <c r="B36" s="118">
        <v>45714</v>
      </c>
      <c r="C36" s="117" t="s">
        <v>172</v>
      </c>
      <c r="D36" s="117">
        <v>37.520000000000003</v>
      </c>
      <c r="E36" s="117"/>
      <c r="F36" s="117">
        <v>854.66</v>
      </c>
      <c r="G36">
        <f t="shared" si="0"/>
        <v>854.66000000000008</v>
      </c>
    </row>
    <row r="37" spans="1:7" ht="15" thickBot="1" x14ac:dyDescent="0.35">
      <c r="A37" s="115">
        <v>1350592</v>
      </c>
      <c r="B37" s="116">
        <v>45714</v>
      </c>
      <c r="C37" s="115" t="s">
        <v>173</v>
      </c>
      <c r="D37" s="115"/>
      <c r="E37" s="115">
        <v>50</v>
      </c>
      <c r="F37" s="115">
        <v>904.66</v>
      </c>
      <c r="G37">
        <f t="shared" si="0"/>
        <v>904.66000000000008</v>
      </c>
    </row>
    <row r="38" spans="1:7" ht="15" thickBot="1" x14ac:dyDescent="0.35">
      <c r="A38" s="115">
        <v>1350595</v>
      </c>
      <c r="B38" s="116">
        <v>45714</v>
      </c>
      <c r="C38" s="115" t="s">
        <v>174</v>
      </c>
      <c r="D38" s="115">
        <v>7.51</v>
      </c>
      <c r="E38" s="115"/>
      <c r="F38" s="115">
        <v>897.15</v>
      </c>
      <c r="G38">
        <f t="shared" si="0"/>
        <v>897.15000000000009</v>
      </c>
    </row>
    <row r="39" spans="1:7" ht="15" thickBot="1" x14ac:dyDescent="0.35">
      <c r="A39" s="115">
        <v>1353512</v>
      </c>
      <c r="B39" s="116">
        <v>45715</v>
      </c>
      <c r="C39" s="115" t="s">
        <v>175</v>
      </c>
      <c r="D39" s="115">
        <v>150</v>
      </c>
      <c r="E39" s="115"/>
      <c r="F39" s="115">
        <v>747.15</v>
      </c>
      <c r="G39">
        <f t="shared" si="0"/>
        <v>747.15000000000009</v>
      </c>
    </row>
    <row r="40" spans="1:7" ht="15" thickBot="1" x14ac:dyDescent="0.35">
      <c r="A40" s="115">
        <v>1355029</v>
      </c>
      <c r="B40" s="116">
        <v>45716</v>
      </c>
      <c r="C40" s="115" t="s">
        <v>176</v>
      </c>
      <c r="D40" s="115">
        <v>543</v>
      </c>
      <c r="E40" s="115"/>
      <c r="F40" s="115">
        <v>354.15</v>
      </c>
      <c r="G40">
        <f t="shared" si="0"/>
        <v>204.15000000000009</v>
      </c>
    </row>
    <row r="41" spans="1:7" x14ac:dyDescent="0.3">
      <c r="A41" s="115"/>
      <c r="B41" s="115"/>
      <c r="C41" s="115"/>
      <c r="D41" s="119">
        <v>850.66</v>
      </c>
      <c r="E41" s="119">
        <v>1050</v>
      </c>
      <c r="F41" s="119">
        <v>354.15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0575-26CC-4474-B69C-5460C987C9BC}">
  <dimension ref="A1:X42"/>
  <sheetViews>
    <sheetView topLeftCell="A19" workbookViewId="0">
      <selection activeCell="A39" sqref="A39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2.21875" customWidth="1"/>
    <col min="4" max="6" width="9" bestFit="1" customWidth="1"/>
  </cols>
  <sheetData>
    <row r="1" spans="1:24" x14ac:dyDescent="0.3">
      <c r="A1" s="124" t="s">
        <v>20</v>
      </c>
      <c r="B1" s="125"/>
      <c r="C1" s="125"/>
      <c r="D1" s="125"/>
      <c r="E1" s="125"/>
      <c r="F1" s="125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25"/>
      <c r="B2" s="125"/>
      <c r="C2" s="125"/>
      <c r="D2" s="125"/>
      <c r="E2" s="125"/>
      <c r="F2" s="125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26" t="s">
        <v>140</v>
      </c>
      <c r="B3" s="125"/>
      <c r="C3" s="125"/>
      <c r="D3" s="125"/>
      <c r="E3" s="125"/>
      <c r="F3" s="125"/>
      <c r="J3" s="111" t="s">
        <v>114</v>
      </c>
      <c r="K3" s="110"/>
      <c r="L3" s="110"/>
      <c r="M3" s="110"/>
      <c r="N3" s="110"/>
      <c r="O3" s="110"/>
      <c r="R3" s="85" t="s">
        <v>145</v>
      </c>
      <c r="S3" s="110"/>
      <c r="T3" s="110"/>
      <c r="U3" s="110"/>
      <c r="V3" s="110"/>
      <c r="W3" s="110"/>
      <c r="X3" s="110"/>
    </row>
    <row r="4" spans="1:24" x14ac:dyDescent="0.3">
      <c r="A4" s="125"/>
      <c r="B4" s="125"/>
      <c r="C4" s="125"/>
      <c r="D4" s="125"/>
      <c r="E4" s="125"/>
      <c r="F4" s="125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27" t="s">
        <v>141</v>
      </c>
      <c r="B5" s="125"/>
      <c r="C5" s="125"/>
      <c r="D5" s="125"/>
      <c r="E5" s="125"/>
      <c r="F5" s="125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27" t="s">
        <v>142</v>
      </c>
      <c r="B6" s="125"/>
      <c r="C6" s="125"/>
      <c r="D6" s="125"/>
      <c r="E6" s="125"/>
      <c r="F6" s="125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27" t="s">
        <v>143</v>
      </c>
      <c r="B7" s="125"/>
      <c r="C7" s="125"/>
      <c r="D7" s="125"/>
      <c r="E7" s="125"/>
      <c r="F7" s="125"/>
      <c r="J7" s="112" t="s">
        <v>144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28"/>
      <c r="B8" s="125"/>
      <c r="C8" s="125"/>
      <c r="D8" s="125"/>
      <c r="E8" s="125"/>
      <c r="F8" s="125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29"/>
      <c r="B10" s="129"/>
      <c r="C10" s="129" t="s">
        <v>28</v>
      </c>
      <c r="D10" s="129"/>
      <c r="E10" s="129"/>
      <c r="F10" s="129">
        <v>14.55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0</v>
      </c>
      <c r="U10" s="115">
        <v>50</v>
      </c>
      <c r="V10" s="115">
        <v>50</v>
      </c>
      <c r="W10" s="115">
        <v>50</v>
      </c>
      <c r="X10" s="115">
        <v>0</v>
      </c>
    </row>
    <row r="11" spans="1:24" ht="15" thickBot="1" x14ac:dyDescent="0.35">
      <c r="A11" s="129">
        <v>1331380</v>
      </c>
      <c r="B11" s="130">
        <v>45663</v>
      </c>
      <c r="C11" s="129" t="s">
        <v>59</v>
      </c>
      <c r="D11" s="129"/>
      <c r="E11" s="129">
        <v>50</v>
      </c>
      <c r="F11" s="129">
        <v>64.55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29">
        <v>1331383</v>
      </c>
      <c r="B12" s="130">
        <v>45663</v>
      </c>
      <c r="C12" s="129" t="s">
        <v>60</v>
      </c>
      <c r="D12" s="129">
        <v>7.51</v>
      </c>
      <c r="E12" s="129"/>
      <c r="F12" s="129">
        <v>57.04</v>
      </c>
      <c r="R12" s="115">
        <v>5820</v>
      </c>
      <c r="S12" s="115" t="s">
        <v>92</v>
      </c>
      <c r="T12" s="115">
        <v>200</v>
      </c>
      <c r="U12" s="115">
        <v>50</v>
      </c>
      <c r="V12" s="115">
        <v>250</v>
      </c>
      <c r="W12" s="115">
        <v>0</v>
      </c>
      <c r="X12" s="115">
        <v>250</v>
      </c>
    </row>
    <row r="13" spans="1:24" ht="15" thickBot="1" x14ac:dyDescent="0.35">
      <c r="A13" s="129">
        <v>1331387</v>
      </c>
      <c r="B13" s="130">
        <v>45663</v>
      </c>
      <c r="C13" s="129" t="s">
        <v>61</v>
      </c>
      <c r="D13" s="129"/>
      <c r="E13" s="129">
        <v>50</v>
      </c>
      <c r="F13" s="129">
        <v>107.04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0</v>
      </c>
      <c r="X13" s="115">
        <v>50</v>
      </c>
    </row>
    <row r="14" spans="1:24" ht="15" thickBot="1" x14ac:dyDescent="0.35">
      <c r="A14" s="129">
        <v>1331390</v>
      </c>
      <c r="B14" s="130">
        <v>45663</v>
      </c>
      <c r="C14" s="129" t="s">
        <v>62</v>
      </c>
      <c r="D14" s="129">
        <v>7.51</v>
      </c>
      <c r="E14" s="129"/>
      <c r="F14" s="129">
        <v>99.53</v>
      </c>
      <c r="R14" s="115">
        <v>5822</v>
      </c>
      <c r="S14" s="115" t="s">
        <v>94</v>
      </c>
      <c r="T14" s="115">
        <v>-50</v>
      </c>
      <c r="U14" s="115">
        <v>50</v>
      </c>
      <c r="V14" s="115">
        <v>0</v>
      </c>
      <c r="W14" s="115">
        <v>0</v>
      </c>
      <c r="X14" s="115">
        <v>0</v>
      </c>
    </row>
    <row r="15" spans="1:24" ht="15" thickBot="1" x14ac:dyDescent="0.35">
      <c r="A15" s="129">
        <v>1331394</v>
      </c>
      <c r="B15" s="130">
        <v>45663</v>
      </c>
      <c r="C15" s="129" t="s">
        <v>63</v>
      </c>
      <c r="D15" s="129"/>
      <c r="E15" s="129">
        <v>50</v>
      </c>
      <c r="F15" s="129">
        <v>149.53</v>
      </c>
      <c r="R15" s="115">
        <v>5823</v>
      </c>
      <c r="S15" s="115" t="s">
        <v>95</v>
      </c>
      <c r="T15" s="115">
        <v>-50</v>
      </c>
      <c r="U15" s="115">
        <v>50</v>
      </c>
      <c r="V15" s="115">
        <v>0</v>
      </c>
      <c r="W15" s="115">
        <v>0</v>
      </c>
      <c r="X15" s="115">
        <v>0</v>
      </c>
    </row>
    <row r="16" spans="1:24" ht="15" thickBot="1" x14ac:dyDescent="0.35">
      <c r="A16" s="129">
        <v>1331397</v>
      </c>
      <c r="B16" s="130">
        <v>45663</v>
      </c>
      <c r="C16" s="129" t="s">
        <v>64</v>
      </c>
      <c r="D16" s="129">
        <v>7.51</v>
      </c>
      <c r="E16" s="129"/>
      <c r="F16" s="129">
        <v>142.02000000000001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29">
        <v>1331401</v>
      </c>
      <c r="B17" s="130">
        <v>45663</v>
      </c>
      <c r="C17" s="129" t="s">
        <v>69</v>
      </c>
      <c r="D17" s="129"/>
      <c r="E17" s="129">
        <v>50</v>
      </c>
      <c r="F17" s="129">
        <v>192.02</v>
      </c>
      <c r="R17" s="117">
        <v>5825</v>
      </c>
      <c r="S17" s="117" t="s">
        <v>97</v>
      </c>
      <c r="T17" s="117">
        <v>50</v>
      </c>
      <c r="U17" s="117">
        <v>50</v>
      </c>
      <c r="V17" s="117">
        <v>100</v>
      </c>
      <c r="W17" s="117">
        <v>0</v>
      </c>
      <c r="X17" s="117">
        <v>100</v>
      </c>
    </row>
    <row r="18" spans="1:24" ht="15" thickBot="1" x14ac:dyDescent="0.35">
      <c r="A18" s="129">
        <v>1331404</v>
      </c>
      <c r="B18" s="130">
        <v>45663</v>
      </c>
      <c r="C18" s="129" t="s">
        <v>70</v>
      </c>
      <c r="D18" s="129">
        <v>7.51</v>
      </c>
      <c r="E18" s="129"/>
      <c r="F18" s="129">
        <v>184.51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29">
        <v>1331408</v>
      </c>
      <c r="B19" s="130">
        <v>45663</v>
      </c>
      <c r="C19" s="129" t="s">
        <v>67</v>
      </c>
      <c r="D19" s="129"/>
      <c r="E19" s="129">
        <v>50</v>
      </c>
      <c r="F19" s="129">
        <v>234.51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50</v>
      </c>
      <c r="X19" s="115">
        <v>0</v>
      </c>
    </row>
    <row r="20" spans="1:24" ht="15" thickBot="1" x14ac:dyDescent="0.35">
      <c r="A20" s="129">
        <v>1331411</v>
      </c>
      <c r="B20" s="130">
        <v>45663</v>
      </c>
      <c r="C20" s="129" t="s">
        <v>68</v>
      </c>
      <c r="D20" s="129">
        <v>7.51</v>
      </c>
      <c r="E20" s="129"/>
      <c r="F20" s="129">
        <v>227</v>
      </c>
      <c r="R20" s="115">
        <v>5828</v>
      </c>
      <c r="S20" s="115" t="s">
        <v>100</v>
      </c>
      <c r="T20" s="115">
        <v>100</v>
      </c>
      <c r="U20" s="115">
        <v>50</v>
      </c>
      <c r="V20" s="115">
        <v>150</v>
      </c>
      <c r="W20" s="115">
        <v>180</v>
      </c>
      <c r="X20" s="115">
        <v>-30</v>
      </c>
    </row>
    <row r="21" spans="1:24" ht="15" thickBot="1" x14ac:dyDescent="0.35">
      <c r="A21" s="129">
        <v>1331415</v>
      </c>
      <c r="B21" s="130">
        <v>45663</v>
      </c>
      <c r="C21" s="129" t="s">
        <v>65</v>
      </c>
      <c r="D21" s="129"/>
      <c r="E21" s="129">
        <v>100</v>
      </c>
      <c r="F21" s="129">
        <v>327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50</v>
      </c>
      <c r="X21" s="115">
        <v>0</v>
      </c>
    </row>
    <row r="22" spans="1:24" ht="15" thickBot="1" x14ac:dyDescent="0.35">
      <c r="A22" s="129">
        <v>1331418</v>
      </c>
      <c r="B22" s="130">
        <v>45663</v>
      </c>
      <c r="C22" s="129" t="s">
        <v>66</v>
      </c>
      <c r="D22" s="129">
        <v>15.01</v>
      </c>
      <c r="E22" s="129"/>
      <c r="F22" s="129">
        <v>311.99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100</v>
      </c>
      <c r="X22" s="115">
        <v>-100</v>
      </c>
    </row>
    <row r="23" spans="1:24" ht="15" thickBot="1" x14ac:dyDescent="0.35">
      <c r="A23" s="129">
        <v>1331422</v>
      </c>
      <c r="B23" s="130">
        <v>45663</v>
      </c>
      <c r="C23" s="129" t="s">
        <v>55</v>
      </c>
      <c r="D23" s="129"/>
      <c r="E23" s="129">
        <v>50</v>
      </c>
      <c r="F23" s="129">
        <v>361.99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29">
        <v>1331425</v>
      </c>
      <c r="B24" s="130">
        <v>45663</v>
      </c>
      <c r="C24" s="129" t="s">
        <v>56</v>
      </c>
      <c r="D24" s="129">
        <v>7.51</v>
      </c>
      <c r="E24" s="129"/>
      <c r="F24" s="129">
        <v>354.48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29">
        <v>1331429</v>
      </c>
      <c r="B25" s="130">
        <v>45663</v>
      </c>
      <c r="C25" s="129" t="s">
        <v>84</v>
      </c>
      <c r="D25" s="129"/>
      <c r="E25" s="129">
        <v>50</v>
      </c>
      <c r="F25" s="129">
        <v>404.48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29">
        <v>1331432</v>
      </c>
      <c r="B26" s="130">
        <v>45663</v>
      </c>
      <c r="C26" s="129" t="s">
        <v>85</v>
      </c>
      <c r="D26" s="129">
        <v>7.51</v>
      </c>
      <c r="E26" s="129"/>
      <c r="F26" s="129">
        <v>396.97</v>
      </c>
      <c r="R26" s="115">
        <v>5834</v>
      </c>
      <c r="S26" s="115" t="s">
        <v>106</v>
      </c>
      <c r="T26" s="115">
        <v>-50</v>
      </c>
      <c r="U26" s="115">
        <v>50</v>
      </c>
      <c r="V26" s="115">
        <v>0</v>
      </c>
      <c r="W26" s="115">
        <v>0</v>
      </c>
      <c r="X26" s="115">
        <v>0</v>
      </c>
    </row>
    <row r="27" spans="1:24" ht="15" thickBot="1" x14ac:dyDescent="0.35">
      <c r="A27" s="129">
        <v>1331436</v>
      </c>
      <c r="B27" s="130">
        <v>45663</v>
      </c>
      <c r="C27" s="129" t="s">
        <v>45</v>
      </c>
      <c r="D27" s="129"/>
      <c r="E27" s="129">
        <v>50</v>
      </c>
      <c r="F27" s="129">
        <v>446.97</v>
      </c>
      <c r="R27" s="115"/>
      <c r="S27" s="115"/>
      <c r="T27" s="121">
        <v>200</v>
      </c>
      <c r="U27" s="121">
        <v>850</v>
      </c>
      <c r="V27" s="121">
        <v>1050</v>
      </c>
      <c r="W27" s="121">
        <v>730</v>
      </c>
      <c r="X27" s="121">
        <v>320</v>
      </c>
    </row>
    <row r="28" spans="1:24" ht="15" thickBot="1" x14ac:dyDescent="0.35">
      <c r="A28" s="129">
        <v>1331439</v>
      </c>
      <c r="B28" s="130">
        <v>45663</v>
      </c>
      <c r="C28" s="129" t="s">
        <v>46</v>
      </c>
      <c r="D28" s="129">
        <v>7.51</v>
      </c>
      <c r="E28" s="129"/>
      <c r="F28" s="129">
        <v>439.46</v>
      </c>
      <c r="X28">
        <f>X20+X22</f>
        <v>-130</v>
      </c>
    </row>
    <row r="29" spans="1:24" ht="15" thickBot="1" x14ac:dyDescent="0.35">
      <c r="A29" s="129">
        <v>1331443</v>
      </c>
      <c r="B29" s="130">
        <v>45663</v>
      </c>
      <c r="C29" s="129" t="s">
        <v>71</v>
      </c>
      <c r="D29" s="129"/>
      <c r="E29" s="129">
        <v>50</v>
      </c>
      <c r="F29" s="129">
        <v>489.46</v>
      </c>
      <c r="X29">
        <f>X28*-1</f>
        <v>130</v>
      </c>
    </row>
    <row r="30" spans="1:24" ht="15" thickBot="1" x14ac:dyDescent="0.35">
      <c r="A30" s="129">
        <v>1331446</v>
      </c>
      <c r="B30" s="130">
        <v>45663</v>
      </c>
      <c r="C30" s="129" t="s">
        <v>72</v>
      </c>
      <c r="D30" s="129">
        <v>7.51</v>
      </c>
      <c r="E30" s="129"/>
      <c r="F30" s="129">
        <v>481.95</v>
      </c>
      <c r="X30">
        <f>X29+X27</f>
        <v>450</v>
      </c>
    </row>
    <row r="31" spans="1:24" ht="15" thickBot="1" x14ac:dyDescent="0.35">
      <c r="A31" s="129">
        <v>1333177</v>
      </c>
      <c r="B31" s="130">
        <v>45666</v>
      </c>
      <c r="C31" s="129" t="s">
        <v>134</v>
      </c>
      <c r="D31" s="129"/>
      <c r="E31" s="129">
        <v>50</v>
      </c>
      <c r="F31" s="129">
        <v>531.95000000000005</v>
      </c>
    </row>
    <row r="32" spans="1:24" ht="15" thickBot="1" x14ac:dyDescent="0.35">
      <c r="A32" s="129">
        <v>1333180</v>
      </c>
      <c r="B32" s="130">
        <v>45666</v>
      </c>
      <c r="C32" s="129" t="s">
        <v>135</v>
      </c>
      <c r="D32" s="129">
        <v>7.51</v>
      </c>
      <c r="E32" s="129"/>
      <c r="F32" s="129">
        <v>524.44000000000005</v>
      </c>
    </row>
    <row r="33" spans="1:6" ht="15" thickBot="1" x14ac:dyDescent="0.35">
      <c r="A33" s="129">
        <v>1338666</v>
      </c>
      <c r="B33" s="130">
        <v>45678</v>
      </c>
      <c r="C33" s="129" t="s">
        <v>136</v>
      </c>
      <c r="D33" s="129">
        <v>50</v>
      </c>
      <c r="E33" s="129"/>
      <c r="F33" s="129">
        <v>474.44</v>
      </c>
    </row>
    <row r="34" spans="1:6" ht="15" thickBot="1" x14ac:dyDescent="0.35">
      <c r="A34" s="129">
        <v>1340074</v>
      </c>
      <c r="B34" s="130">
        <v>45678</v>
      </c>
      <c r="C34" s="129" t="s">
        <v>61</v>
      </c>
      <c r="D34" s="129"/>
      <c r="E34" s="129">
        <v>50</v>
      </c>
      <c r="F34" s="129">
        <v>524.44000000000005</v>
      </c>
    </row>
    <row r="35" spans="1:6" ht="15" thickBot="1" x14ac:dyDescent="0.35">
      <c r="A35" s="129">
        <v>1340077</v>
      </c>
      <c r="B35" s="130">
        <v>45678</v>
      </c>
      <c r="C35" s="129" t="s">
        <v>62</v>
      </c>
      <c r="D35" s="129">
        <v>7.51</v>
      </c>
      <c r="E35" s="129"/>
      <c r="F35" s="129">
        <v>516.92999999999995</v>
      </c>
    </row>
    <row r="36" spans="1:6" ht="15" thickBot="1" x14ac:dyDescent="0.35">
      <c r="A36" s="129">
        <v>1339869</v>
      </c>
      <c r="B36" s="130">
        <v>45681</v>
      </c>
      <c r="C36" s="129" t="s">
        <v>137</v>
      </c>
      <c r="D36" s="129">
        <v>80</v>
      </c>
      <c r="E36" s="129"/>
      <c r="F36" s="129">
        <v>436.93</v>
      </c>
    </row>
    <row r="37" spans="1:6" ht="15" thickBot="1" x14ac:dyDescent="0.35">
      <c r="A37" s="129">
        <v>1340067</v>
      </c>
      <c r="B37" s="130">
        <v>45681</v>
      </c>
      <c r="C37" s="129" t="s">
        <v>61</v>
      </c>
      <c r="D37" s="129"/>
      <c r="E37" s="129">
        <v>80</v>
      </c>
      <c r="F37" s="129">
        <v>516.92999999999995</v>
      </c>
    </row>
    <row r="38" spans="1:6" ht="15" thickBot="1" x14ac:dyDescent="0.35">
      <c r="A38" s="129">
        <v>1340070</v>
      </c>
      <c r="B38" s="130">
        <v>45681</v>
      </c>
      <c r="C38" s="129" t="s">
        <v>62</v>
      </c>
      <c r="D38" s="129">
        <v>12.01</v>
      </c>
      <c r="E38" s="129"/>
      <c r="F38" s="129">
        <v>504.92</v>
      </c>
    </row>
    <row r="39" spans="1:6" ht="15" thickBot="1" x14ac:dyDescent="0.35">
      <c r="A39" s="129">
        <v>1340738</v>
      </c>
      <c r="B39" s="130">
        <v>45688</v>
      </c>
      <c r="C39" s="129" t="s">
        <v>138</v>
      </c>
      <c r="D39" s="129">
        <v>34.11</v>
      </c>
      <c r="E39" s="129"/>
      <c r="F39" s="129">
        <v>470.81</v>
      </c>
    </row>
    <row r="40" spans="1:6" ht="15" thickBot="1" x14ac:dyDescent="0.35">
      <c r="A40" s="129">
        <v>1343909</v>
      </c>
      <c r="B40" s="130">
        <v>45688</v>
      </c>
      <c r="C40" s="129" t="s">
        <v>79</v>
      </c>
      <c r="D40" s="129">
        <v>456</v>
      </c>
      <c r="E40" s="129"/>
      <c r="F40" s="129">
        <v>14.81</v>
      </c>
    </row>
    <row r="41" spans="1:6" ht="15" thickBot="1" x14ac:dyDescent="0.35">
      <c r="A41" s="129">
        <v>1344326</v>
      </c>
      <c r="B41" s="130">
        <v>45688</v>
      </c>
      <c r="C41" s="129" t="s">
        <v>139</v>
      </c>
      <c r="D41" s="129">
        <v>10</v>
      </c>
      <c r="E41" s="129"/>
      <c r="F41" s="129">
        <v>4.8099999999999996</v>
      </c>
    </row>
    <row r="42" spans="1:6" x14ac:dyDescent="0.3">
      <c r="A42" s="129"/>
      <c r="B42" s="129"/>
      <c r="C42" s="129"/>
      <c r="D42" s="131">
        <v>739.74</v>
      </c>
      <c r="E42" s="131">
        <v>730</v>
      </c>
      <c r="F42" s="131">
        <v>4.8099999999999996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C0F8-28FA-49B3-8430-595E2CFFAE05}">
  <sheetPr codeName="Sheet2"/>
  <dimension ref="A1:X30"/>
  <sheetViews>
    <sheetView topLeftCell="E7" workbookViewId="0">
      <selection activeCell="AA24" sqref="AA24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34.1093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132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131</v>
      </c>
      <c r="B7" s="110"/>
      <c r="C7" s="110"/>
      <c r="D7" s="110"/>
      <c r="E7" s="110"/>
      <c r="F7" s="110"/>
      <c r="J7" s="112" t="s">
        <v>131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57.9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1282723</v>
      </c>
      <c r="B11" s="116">
        <v>45567</v>
      </c>
      <c r="C11" s="115" t="s">
        <v>71</v>
      </c>
      <c r="D11" s="115"/>
      <c r="E11" s="115">
        <v>50</v>
      </c>
      <c r="F11" s="115">
        <v>107.9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1282726</v>
      </c>
      <c r="B12" s="116">
        <v>45567</v>
      </c>
      <c r="C12" s="115" t="s">
        <v>72</v>
      </c>
      <c r="D12" s="115">
        <v>7.51</v>
      </c>
      <c r="E12" s="115"/>
      <c r="F12" s="115">
        <v>100.39</v>
      </c>
      <c r="R12" s="115">
        <v>5820</v>
      </c>
      <c r="S12" s="115" t="s">
        <v>92</v>
      </c>
      <c r="T12" s="115">
        <v>50</v>
      </c>
      <c r="U12" s="115">
        <v>50</v>
      </c>
      <c r="V12" s="115">
        <v>100</v>
      </c>
      <c r="W12" s="115">
        <v>0</v>
      </c>
      <c r="X12" s="115">
        <v>100</v>
      </c>
    </row>
    <row r="13" spans="1:24" ht="15" thickBot="1" x14ac:dyDescent="0.35">
      <c r="A13" s="115">
        <v>1282730</v>
      </c>
      <c r="B13" s="116">
        <v>45567</v>
      </c>
      <c r="C13" s="115" t="s">
        <v>73</v>
      </c>
      <c r="D13" s="115"/>
      <c r="E13" s="115">
        <v>50</v>
      </c>
      <c r="F13" s="115">
        <v>150.38999999999999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0</v>
      </c>
      <c r="X13" s="115">
        <v>50</v>
      </c>
    </row>
    <row r="14" spans="1:24" ht="15" thickBot="1" x14ac:dyDescent="0.35">
      <c r="A14" s="115">
        <v>1282733</v>
      </c>
      <c r="B14" s="116">
        <v>45567</v>
      </c>
      <c r="C14" s="115" t="s">
        <v>74</v>
      </c>
      <c r="D14" s="115">
        <v>7.51</v>
      </c>
      <c r="E14" s="115"/>
      <c r="F14" s="115">
        <v>142.88</v>
      </c>
      <c r="R14" s="115">
        <v>5822</v>
      </c>
      <c r="S14" s="115" t="s">
        <v>94</v>
      </c>
      <c r="T14" s="115">
        <v>0</v>
      </c>
      <c r="U14" s="115">
        <v>50</v>
      </c>
      <c r="V14" s="115">
        <v>50</v>
      </c>
      <c r="W14" s="115">
        <v>0</v>
      </c>
      <c r="X14" s="115">
        <v>50</v>
      </c>
    </row>
    <row r="15" spans="1:24" ht="15" thickBot="1" x14ac:dyDescent="0.35">
      <c r="A15" s="115">
        <v>1282737</v>
      </c>
      <c r="B15" s="116">
        <v>45567</v>
      </c>
      <c r="C15" s="115" t="s">
        <v>61</v>
      </c>
      <c r="D15" s="115"/>
      <c r="E15" s="115">
        <v>50</v>
      </c>
      <c r="F15" s="115">
        <v>192.88</v>
      </c>
      <c r="R15" s="115">
        <v>5823</v>
      </c>
      <c r="S15" s="115" t="s">
        <v>95</v>
      </c>
      <c r="T15" s="115">
        <v>0</v>
      </c>
      <c r="U15" s="115">
        <v>50</v>
      </c>
      <c r="V15" s="115">
        <v>50</v>
      </c>
      <c r="W15" s="115">
        <v>0</v>
      </c>
      <c r="X15" s="115">
        <v>50</v>
      </c>
    </row>
    <row r="16" spans="1:24" ht="15" thickBot="1" x14ac:dyDescent="0.35">
      <c r="A16" s="115">
        <v>1282740</v>
      </c>
      <c r="B16" s="116">
        <v>45567</v>
      </c>
      <c r="C16" s="115" t="s">
        <v>62</v>
      </c>
      <c r="D16" s="115">
        <v>7.51</v>
      </c>
      <c r="E16" s="115"/>
      <c r="F16" s="115">
        <v>185.37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1282744</v>
      </c>
      <c r="B17" s="116">
        <v>45567</v>
      </c>
      <c r="C17" s="115" t="s">
        <v>55</v>
      </c>
      <c r="D17" s="115"/>
      <c r="E17" s="115">
        <v>50</v>
      </c>
      <c r="F17" s="115">
        <v>235.37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0</v>
      </c>
      <c r="X17" s="115">
        <v>50</v>
      </c>
    </row>
    <row r="18" spans="1:24" ht="15" thickBot="1" x14ac:dyDescent="0.35">
      <c r="A18" s="115">
        <v>1282747</v>
      </c>
      <c r="B18" s="116">
        <v>45567</v>
      </c>
      <c r="C18" s="115" t="s">
        <v>56</v>
      </c>
      <c r="D18" s="115">
        <v>7.51</v>
      </c>
      <c r="E18" s="115"/>
      <c r="F18" s="115">
        <v>227.86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100</v>
      </c>
      <c r="X18" s="115">
        <v>0</v>
      </c>
    </row>
    <row r="19" spans="1:24" ht="15" thickBot="1" x14ac:dyDescent="0.35">
      <c r="A19" s="115">
        <v>1282751</v>
      </c>
      <c r="B19" s="116">
        <v>45567</v>
      </c>
      <c r="C19" s="115" t="s">
        <v>84</v>
      </c>
      <c r="D19" s="115"/>
      <c r="E19" s="115">
        <v>100</v>
      </c>
      <c r="F19" s="115">
        <v>327.86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0</v>
      </c>
      <c r="X19" s="115">
        <v>50</v>
      </c>
    </row>
    <row r="20" spans="1:24" ht="15" thickBot="1" x14ac:dyDescent="0.35">
      <c r="A20" s="115">
        <v>1282754</v>
      </c>
      <c r="B20" s="116">
        <v>45567</v>
      </c>
      <c r="C20" s="115" t="s">
        <v>85</v>
      </c>
      <c r="D20" s="115">
        <v>15.01</v>
      </c>
      <c r="E20" s="115"/>
      <c r="F20" s="115">
        <v>312.85000000000002</v>
      </c>
      <c r="R20" s="115">
        <v>5828</v>
      </c>
      <c r="S20" s="115" t="s">
        <v>100</v>
      </c>
      <c r="T20" s="115">
        <v>0</v>
      </c>
      <c r="U20" s="115">
        <v>50</v>
      </c>
      <c r="V20" s="115">
        <v>50</v>
      </c>
      <c r="W20" s="115">
        <v>50</v>
      </c>
      <c r="X20" s="115">
        <v>0</v>
      </c>
    </row>
    <row r="21" spans="1:24" ht="15" thickBot="1" x14ac:dyDescent="0.35">
      <c r="A21" s="115">
        <v>1282758</v>
      </c>
      <c r="B21" s="116">
        <v>45567</v>
      </c>
      <c r="C21" s="115" t="s">
        <v>69</v>
      </c>
      <c r="D21" s="115"/>
      <c r="E21" s="115">
        <v>50</v>
      </c>
      <c r="F21" s="115">
        <v>362.85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0</v>
      </c>
      <c r="X21" s="115">
        <v>50</v>
      </c>
    </row>
    <row r="22" spans="1:24" ht="15" thickBot="1" x14ac:dyDescent="0.35">
      <c r="A22" s="115">
        <v>1282761</v>
      </c>
      <c r="B22" s="116">
        <v>45567</v>
      </c>
      <c r="C22" s="115" t="s">
        <v>70</v>
      </c>
      <c r="D22" s="115">
        <v>7.51</v>
      </c>
      <c r="E22" s="115"/>
      <c r="F22" s="115">
        <v>355.34</v>
      </c>
      <c r="R22" s="115">
        <v>5830</v>
      </c>
      <c r="S22" s="115" t="s">
        <v>102</v>
      </c>
      <c r="T22" s="115">
        <v>-100</v>
      </c>
      <c r="U22" s="115">
        <v>50</v>
      </c>
      <c r="V22" s="115">
        <v>-50</v>
      </c>
      <c r="W22" s="115">
        <v>0</v>
      </c>
      <c r="X22" s="115">
        <v>-50</v>
      </c>
    </row>
    <row r="23" spans="1:24" ht="15" thickBot="1" x14ac:dyDescent="0.35">
      <c r="A23" s="115">
        <v>1282765</v>
      </c>
      <c r="B23" s="116">
        <v>45567</v>
      </c>
      <c r="C23" s="115" t="s">
        <v>67</v>
      </c>
      <c r="D23" s="115"/>
      <c r="E23" s="115">
        <v>50</v>
      </c>
      <c r="F23" s="115">
        <v>405.34</v>
      </c>
      <c r="R23" s="117">
        <v>5831</v>
      </c>
      <c r="S23" s="117" t="s">
        <v>103</v>
      </c>
      <c r="T23" s="117">
        <v>0</v>
      </c>
      <c r="U23" s="117">
        <v>50</v>
      </c>
      <c r="V23" s="117">
        <v>50</v>
      </c>
      <c r="W23" s="117">
        <v>50</v>
      </c>
      <c r="X23" s="117">
        <v>0</v>
      </c>
    </row>
    <row r="24" spans="1:24" ht="15" thickBot="1" x14ac:dyDescent="0.35">
      <c r="A24" s="117">
        <v>1282768</v>
      </c>
      <c r="B24" s="118">
        <v>45567</v>
      </c>
      <c r="C24" s="117" t="s">
        <v>68</v>
      </c>
      <c r="D24" s="117">
        <v>7.51</v>
      </c>
      <c r="E24" s="117"/>
      <c r="F24" s="117">
        <v>397.83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1282772</v>
      </c>
      <c r="B25" s="116">
        <v>45567</v>
      </c>
      <c r="C25" s="115" t="s">
        <v>45</v>
      </c>
      <c r="D25" s="115"/>
      <c r="E25" s="115">
        <v>50</v>
      </c>
      <c r="F25" s="115">
        <v>447.83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1282775</v>
      </c>
      <c r="B26" s="116">
        <v>45567</v>
      </c>
      <c r="C26" s="115" t="s">
        <v>46</v>
      </c>
      <c r="D26" s="115">
        <v>7.51</v>
      </c>
      <c r="E26" s="115"/>
      <c r="F26" s="115">
        <v>440.32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1311639</v>
      </c>
      <c r="B27" s="116">
        <v>45596</v>
      </c>
      <c r="C27" s="115" t="s">
        <v>130</v>
      </c>
      <c r="D27" s="115">
        <v>180</v>
      </c>
      <c r="E27" s="115"/>
      <c r="F27" s="115">
        <v>260.32</v>
      </c>
      <c r="R27" s="115"/>
      <c r="S27" s="115"/>
      <c r="T27" s="121">
        <v>-50</v>
      </c>
      <c r="U27" s="121">
        <v>850</v>
      </c>
      <c r="V27" s="121">
        <v>800</v>
      </c>
      <c r="W27" s="121">
        <v>450</v>
      </c>
      <c r="X27" s="121">
        <v>350</v>
      </c>
    </row>
    <row r="28" spans="1:24" ht="15" thickBot="1" x14ac:dyDescent="0.35">
      <c r="A28" s="115">
        <v>1311810</v>
      </c>
      <c r="B28" s="116">
        <v>45596</v>
      </c>
      <c r="C28" s="115" t="s">
        <v>107</v>
      </c>
      <c r="D28" s="115">
        <v>363</v>
      </c>
      <c r="E28" s="115"/>
      <c r="F28" s="115">
        <v>-102.68</v>
      </c>
      <c r="X28">
        <f>X22</f>
        <v>-50</v>
      </c>
    </row>
    <row r="29" spans="1:24" x14ac:dyDescent="0.3">
      <c r="A29" s="115"/>
      <c r="B29" s="115"/>
      <c r="C29" s="115"/>
      <c r="D29" s="119">
        <v>610.58000000000004</v>
      </c>
      <c r="E29" s="119">
        <v>450</v>
      </c>
      <c r="F29" s="119">
        <v>-102.68</v>
      </c>
      <c r="X29">
        <f>X28*-1</f>
        <v>50</v>
      </c>
    </row>
    <row r="30" spans="1:24" x14ac:dyDescent="0.3">
      <c r="X30">
        <f>X27+X29</f>
        <v>400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17</xdr:col>
                <xdr:colOff>0</xdr:colOff>
                <xdr:row>27</xdr:row>
                <xdr:rowOff>0</xdr:rowOff>
              </from>
              <to>
                <xdr:col>17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4097" r:id="rId3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CE08-5322-4FBD-9BF1-5DF515CC37C7}">
  <dimension ref="A1:X46"/>
  <sheetViews>
    <sheetView topLeftCell="A21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8.886718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R3" s="85" t="s">
        <v>128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127</v>
      </c>
      <c r="B7" s="110"/>
      <c r="C7" s="110"/>
      <c r="D7" s="110"/>
      <c r="E7" s="110"/>
      <c r="F7" s="110"/>
      <c r="I7" s="112" t="s">
        <v>127</v>
      </c>
      <c r="J7" s="110"/>
      <c r="K7" s="110"/>
      <c r="L7" s="110"/>
      <c r="M7" s="110"/>
      <c r="N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8.56</v>
      </c>
      <c r="I10" s="115"/>
      <c r="J10" s="115"/>
      <c r="K10" s="115" t="s">
        <v>28</v>
      </c>
      <c r="L10" s="115"/>
      <c r="M10" s="115"/>
      <c r="N10" s="115">
        <v>0</v>
      </c>
      <c r="R10" s="115">
        <v>5817</v>
      </c>
      <c r="S10" s="115" t="s">
        <v>90</v>
      </c>
      <c r="T10" s="115">
        <v>0</v>
      </c>
      <c r="U10" s="115">
        <v>50</v>
      </c>
      <c r="V10" s="115">
        <v>50</v>
      </c>
      <c r="W10" s="115">
        <v>100</v>
      </c>
      <c r="X10" s="115">
        <v>-50</v>
      </c>
    </row>
    <row r="11" spans="1:24" ht="15" thickBot="1" x14ac:dyDescent="0.35">
      <c r="A11" s="115">
        <v>1260426</v>
      </c>
      <c r="B11" s="116">
        <v>45537</v>
      </c>
      <c r="C11" s="115" t="s">
        <v>71</v>
      </c>
      <c r="D11" s="115"/>
      <c r="E11" s="115">
        <v>50</v>
      </c>
      <c r="F11" s="115">
        <v>58.56</v>
      </c>
      <c r="I11" s="115"/>
      <c r="J11" s="115"/>
      <c r="K11" s="115"/>
      <c r="L11" s="119">
        <v>0</v>
      </c>
      <c r="M11" s="119">
        <v>0</v>
      </c>
      <c r="N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1260430</v>
      </c>
      <c r="B12" s="116">
        <v>45537</v>
      </c>
      <c r="C12" s="115" t="s">
        <v>72</v>
      </c>
      <c r="D12" s="115">
        <v>7.51</v>
      </c>
      <c r="E12" s="115"/>
      <c r="F12" s="115">
        <v>51.05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0</v>
      </c>
      <c r="X12" s="115">
        <v>50</v>
      </c>
    </row>
    <row r="13" spans="1:24" ht="15" thickBot="1" x14ac:dyDescent="0.35">
      <c r="A13" s="115">
        <v>1260589</v>
      </c>
      <c r="B13" s="116">
        <v>45537</v>
      </c>
      <c r="C13" s="115" t="s">
        <v>61</v>
      </c>
      <c r="D13" s="115"/>
      <c r="E13" s="115">
        <v>50</v>
      </c>
      <c r="F13" s="115">
        <v>101.05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50</v>
      </c>
      <c r="X13" s="115">
        <v>0</v>
      </c>
    </row>
    <row r="14" spans="1:24" ht="15" thickBot="1" x14ac:dyDescent="0.35">
      <c r="A14" s="115">
        <v>1260593</v>
      </c>
      <c r="B14" s="116">
        <v>45537</v>
      </c>
      <c r="C14" s="115" t="s">
        <v>62</v>
      </c>
      <c r="D14" s="115">
        <v>7.51</v>
      </c>
      <c r="E14" s="115"/>
      <c r="F14" s="115">
        <v>93.54</v>
      </c>
      <c r="R14" s="115">
        <v>5822</v>
      </c>
      <c r="S14" s="115" t="s">
        <v>94</v>
      </c>
      <c r="T14" s="115">
        <v>0</v>
      </c>
      <c r="U14" s="115">
        <v>50</v>
      </c>
      <c r="V14" s="115">
        <v>50</v>
      </c>
      <c r="W14" s="115">
        <v>50</v>
      </c>
      <c r="X14" s="115">
        <v>0</v>
      </c>
    </row>
    <row r="15" spans="1:24" ht="15" thickBot="1" x14ac:dyDescent="0.35">
      <c r="A15" s="115">
        <v>1264114</v>
      </c>
      <c r="B15" s="116">
        <v>45538</v>
      </c>
      <c r="C15" s="115" t="s">
        <v>57</v>
      </c>
      <c r="D15" s="115"/>
      <c r="E15" s="115">
        <v>50</v>
      </c>
      <c r="F15" s="115">
        <v>143.54</v>
      </c>
      <c r="R15" s="115">
        <v>5823</v>
      </c>
      <c r="S15" s="115" t="s">
        <v>95</v>
      </c>
      <c r="T15" s="115">
        <v>50</v>
      </c>
      <c r="U15" s="115">
        <v>50</v>
      </c>
      <c r="V15" s="115">
        <v>100</v>
      </c>
      <c r="W15" s="115">
        <v>100</v>
      </c>
      <c r="X15" s="115">
        <v>0</v>
      </c>
    </row>
    <row r="16" spans="1:24" ht="15" thickBot="1" x14ac:dyDescent="0.35">
      <c r="A16" s="115">
        <v>1264117</v>
      </c>
      <c r="B16" s="116">
        <v>45538</v>
      </c>
      <c r="C16" s="115" t="s">
        <v>58</v>
      </c>
      <c r="D16" s="115">
        <v>7.51</v>
      </c>
      <c r="E16" s="115"/>
      <c r="F16" s="115">
        <v>136.03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1264121</v>
      </c>
      <c r="B17" s="116">
        <v>45538</v>
      </c>
      <c r="C17" s="115" t="s">
        <v>59</v>
      </c>
      <c r="D17" s="115"/>
      <c r="E17" s="115">
        <v>50</v>
      </c>
      <c r="F17" s="115">
        <v>186.03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50</v>
      </c>
      <c r="X17" s="115">
        <v>0</v>
      </c>
    </row>
    <row r="18" spans="1:24" ht="15" thickBot="1" x14ac:dyDescent="0.35">
      <c r="A18" s="115">
        <v>1264124</v>
      </c>
      <c r="B18" s="116">
        <v>45538</v>
      </c>
      <c r="C18" s="115" t="s">
        <v>60</v>
      </c>
      <c r="D18" s="115">
        <v>7.51</v>
      </c>
      <c r="E18" s="115"/>
      <c r="F18" s="115">
        <v>178.52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15">
        <v>1264128</v>
      </c>
      <c r="B19" s="116">
        <v>45538</v>
      </c>
      <c r="C19" s="115" t="s">
        <v>73</v>
      </c>
      <c r="D19" s="115"/>
      <c r="E19" s="115">
        <v>50</v>
      </c>
      <c r="F19" s="115">
        <v>228.52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50</v>
      </c>
      <c r="X19" s="115">
        <v>0</v>
      </c>
    </row>
    <row r="20" spans="1:24" ht="15" thickBot="1" x14ac:dyDescent="0.35">
      <c r="A20" s="115">
        <v>1264131</v>
      </c>
      <c r="B20" s="116">
        <v>45538</v>
      </c>
      <c r="C20" s="115" t="s">
        <v>74</v>
      </c>
      <c r="D20" s="115">
        <v>7.51</v>
      </c>
      <c r="E20" s="115"/>
      <c r="F20" s="115">
        <v>221.01</v>
      </c>
      <c r="R20" s="117">
        <v>5828</v>
      </c>
      <c r="S20" s="117" t="s">
        <v>100</v>
      </c>
      <c r="T20" s="117">
        <v>0</v>
      </c>
      <c r="U20" s="117">
        <v>50</v>
      </c>
      <c r="V20" s="117">
        <v>50</v>
      </c>
      <c r="W20" s="117">
        <v>50</v>
      </c>
      <c r="X20" s="117">
        <v>0</v>
      </c>
    </row>
    <row r="21" spans="1:24" ht="15" thickBot="1" x14ac:dyDescent="0.35">
      <c r="A21" s="115">
        <v>1264135</v>
      </c>
      <c r="B21" s="116">
        <v>45538</v>
      </c>
      <c r="C21" s="115" t="s">
        <v>63</v>
      </c>
      <c r="D21" s="115"/>
      <c r="E21" s="115">
        <v>50</v>
      </c>
      <c r="F21" s="115">
        <v>271.01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50</v>
      </c>
      <c r="X21" s="115">
        <v>0</v>
      </c>
    </row>
    <row r="22" spans="1:24" ht="15" thickBot="1" x14ac:dyDescent="0.35">
      <c r="A22" s="115">
        <v>1264138</v>
      </c>
      <c r="B22" s="116">
        <v>45538</v>
      </c>
      <c r="C22" s="115" t="s">
        <v>64</v>
      </c>
      <c r="D22" s="115">
        <v>7.51</v>
      </c>
      <c r="E22" s="115"/>
      <c r="F22" s="115">
        <v>263.5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100</v>
      </c>
      <c r="X22" s="115">
        <v>-100</v>
      </c>
    </row>
    <row r="23" spans="1:24" ht="15" thickBot="1" x14ac:dyDescent="0.35">
      <c r="A23" s="115">
        <v>1264142</v>
      </c>
      <c r="B23" s="116">
        <v>45538</v>
      </c>
      <c r="C23" s="115" t="s">
        <v>69</v>
      </c>
      <c r="D23" s="115"/>
      <c r="E23" s="115">
        <v>50</v>
      </c>
      <c r="F23" s="115">
        <v>313.5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15">
        <v>1264145</v>
      </c>
      <c r="B24" s="116">
        <v>45538</v>
      </c>
      <c r="C24" s="115" t="s">
        <v>70</v>
      </c>
      <c r="D24" s="115">
        <v>7.51</v>
      </c>
      <c r="E24" s="115"/>
      <c r="F24" s="115">
        <v>305.99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1264149</v>
      </c>
      <c r="B25" s="116">
        <v>45538</v>
      </c>
      <c r="C25" s="115" t="s">
        <v>65</v>
      </c>
      <c r="D25" s="115"/>
      <c r="E25" s="115">
        <v>100</v>
      </c>
      <c r="F25" s="115">
        <v>405.99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1264152</v>
      </c>
      <c r="B26" s="116">
        <v>45538</v>
      </c>
      <c r="C26" s="115" t="s">
        <v>66</v>
      </c>
      <c r="D26" s="115">
        <v>15.01</v>
      </c>
      <c r="E26" s="115"/>
      <c r="F26" s="115">
        <v>390.98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1264156</v>
      </c>
      <c r="B27" s="116">
        <v>45538</v>
      </c>
      <c r="C27" s="115" t="s">
        <v>67</v>
      </c>
      <c r="D27" s="115"/>
      <c r="E27" s="115">
        <v>50</v>
      </c>
      <c r="F27" s="115">
        <v>440.98</v>
      </c>
      <c r="R27" s="115"/>
      <c r="S27" s="115"/>
      <c r="T27" s="121">
        <v>50</v>
      </c>
      <c r="U27" s="121">
        <v>850</v>
      </c>
      <c r="V27" s="121">
        <v>900</v>
      </c>
      <c r="W27" s="121">
        <v>950</v>
      </c>
      <c r="X27" s="121">
        <v>-50</v>
      </c>
    </row>
    <row r="28" spans="1:24" ht="15" thickBot="1" x14ac:dyDescent="0.35">
      <c r="A28" s="115">
        <v>1264159</v>
      </c>
      <c r="B28" s="116">
        <v>45538</v>
      </c>
      <c r="C28" s="115" t="s">
        <v>68</v>
      </c>
      <c r="D28" s="115">
        <v>7.51</v>
      </c>
      <c r="E28" s="115"/>
      <c r="F28" s="115">
        <v>433.47</v>
      </c>
      <c r="X28">
        <f>X10+X22</f>
        <v>-150</v>
      </c>
    </row>
    <row r="29" spans="1:24" ht="15" thickBot="1" x14ac:dyDescent="0.35">
      <c r="A29" s="115">
        <v>1264163</v>
      </c>
      <c r="B29" s="116">
        <v>45538</v>
      </c>
      <c r="C29" s="115" t="s">
        <v>55</v>
      </c>
      <c r="D29" s="115"/>
      <c r="E29" s="115">
        <v>50</v>
      </c>
      <c r="F29" s="115">
        <v>483.47</v>
      </c>
      <c r="X29">
        <f>X28*-1</f>
        <v>150</v>
      </c>
    </row>
    <row r="30" spans="1:24" ht="15" thickBot="1" x14ac:dyDescent="0.35">
      <c r="A30" s="115">
        <v>1264166</v>
      </c>
      <c r="B30" s="116">
        <v>45538</v>
      </c>
      <c r="C30" s="115" t="s">
        <v>56</v>
      </c>
      <c r="D30" s="115">
        <v>7.51</v>
      </c>
      <c r="E30" s="115"/>
      <c r="F30" s="115">
        <v>475.96</v>
      </c>
      <c r="X30">
        <f>X29+X27</f>
        <v>100</v>
      </c>
    </row>
    <row r="31" spans="1:24" ht="15" thickBot="1" x14ac:dyDescent="0.35">
      <c r="A31" s="115">
        <v>1264170</v>
      </c>
      <c r="B31" s="116">
        <v>45538</v>
      </c>
      <c r="C31" s="115" t="s">
        <v>84</v>
      </c>
      <c r="D31" s="115"/>
      <c r="E31" s="115">
        <v>50</v>
      </c>
      <c r="F31" s="115">
        <v>525.96</v>
      </c>
    </row>
    <row r="32" spans="1:24" ht="15" thickBot="1" x14ac:dyDescent="0.35">
      <c r="A32" s="115">
        <v>1264173</v>
      </c>
      <c r="B32" s="116">
        <v>45538</v>
      </c>
      <c r="C32" s="115" t="s">
        <v>85</v>
      </c>
      <c r="D32" s="115">
        <v>7.51</v>
      </c>
      <c r="E32" s="115"/>
      <c r="F32" s="115">
        <v>518.45000000000005</v>
      </c>
    </row>
    <row r="33" spans="1:6" ht="15" thickBot="1" x14ac:dyDescent="0.35">
      <c r="A33" s="115">
        <v>1264177</v>
      </c>
      <c r="B33" s="116">
        <v>45538</v>
      </c>
      <c r="C33" s="115" t="s">
        <v>51</v>
      </c>
      <c r="D33" s="115"/>
      <c r="E33" s="115">
        <v>50</v>
      </c>
      <c r="F33" s="115">
        <v>568.45000000000005</v>
      </c>
    </row>
    <row r="34" spans="1:6" ht="15" thickBot="1" x14ac:dyDescent="0.35">
      <c r="A34" s="115">
        <v>1264180</v>
      </c>
      <c r="B34" s="116">
        <v>45538</v>
      </c>
      <c r="C34" s="115" t="s">
        <v>52</v>
      </c>
      <c r="D34" s="115">
        <v>7.51</v>
      </c>
      <c r="E34" s="115"/>
      <c r="F34" s="115">
        <v>560.94000000000005</v>
      </c>
    </row>
    <row r="35" spans="1:6" ht="15" thickBot="1" x14ac:dyDescent="0.35">
      <c r="A35" s="115">
        <v>1264184</v>
      </c>
      <c r="B35" s="116">
        <v>45538</v>
      </c>
      <c r="C35" s="115" t="s">
        <v>45</v>
      </c>
      <c r="D35" s="115"/>
      <c r="E35" s="115">
        <v>50</v>
      </c>
      <c r="F35" s="115">
        <v>610.94000000000005</v>
      </c>
    </row>
    <row r="36" spans="1:6" ht="15" thickBot="1" x14ac:dyDescent="0.35">
      <c r="A36" s="115">
        <v>1264187</v>
      </c>
      <c r="B36" s="116">
        <v>45538</v>
      </c>
      <c r="C36" s="115" t="s">
        <v>46</v>
      </c>
      <c r="D36" s="115">
        <v>7.51</v>
      </c>
      <c r="E36" s="115"/>
      <c r="F36" s="115">
        <v>603.42999999999995</v>
      </c>
    </row>
    <row r="37" spans="1:6" ht="15" thickBot="1" x14ac:dyDescent="0.35">
      <c r="A37" s="115">
        <v>1271494</v>
      </c>
      <c r="B37" s="116">
        <v>45541</v>
      </c>
      <c r="C37" s="115" t="s">
        <v>121</v>
      </c>
      <c r="D37" s="115">
        <v>10</v>
      </c>
      <c r="E37" s="115"/>
      <c r="F37" s="115">
        <v>693.43</v>
      </c>
    </row>
    <row r="38" spans="1:6" ht="15" thickBot="1" x14ac:dyDescent="0.35">
      <c r="A38" s="115">
        <v>1270373</v>
      </c>
      <c r="B38" s="116">
        <v>45546</v>
      </c>
      <c r="C38" s="115" t="s">
        <v>122</v>
      </c>
      <c r="D38" s="115"/>
      <c r="E38" s="115">
        <v>100</v>
      </c>
      <c r="F38" s="115">
        <v>693.43</v>
      </c>
    </row>
    <row r="39" spans="1:6" ht="15" thickBot="1" x14ac:dyDescent="0.35">
      <c r="A39" s="115">
        <v>1270376</v>
      </c>
      <c r="B39" s="116">
        <v>45546</v>
      </c>
      <c r="C39" s="115" t="s">
        <v>123</v>
      </c>
      <c r="D39" s="115">
        <v>15.01</v>
      </c>
      <c r="E39" s="115"/>
      <c r="F39" s="115">
        <v>678.42</v>
      </c>
    </row>
    <row r="40" spans="1:6" ht="15" thickBot="1" x14ac:dyDescent="0.35">
      <c r="A40" s="115">
        <v>1273752</v>
      </c>
      <c r="B40" s="116">
        <v>45554</v>
      </c>
      <c r="C40" s="115" t="s">
        <v>53</v>
      </c>
      <c r="D40" s="115"/>
      <c r="E40" s="115">
        <v>100</v>
      </c>
      <c r="F40" s="115">
        <v>778.42</v>
      </c>
    </row>
    <row r="41" spans="1:6" ht="15" thickBot="1" x14ac:dyDescent="0.35">
      <c r="A41" s="117">
        <v>1273755</v>
      </c>
      <c r="B41" s="118">
        <v>45554</v>
      </c>
      <c r="C41" s="117" t="s">
        <v>54</v>
      </c>
      <c r="D41" s="117">
        <v>15.01</v>
      </c>
      <c r="E41" s="117"/>
      <c r="F41" s="117">
        <v>763.41</v>
      </c>
    </row>
    <row r="42" spans="1:6" ht="15" thickBot="1" x14ac:dyDescent="0.35">
      <c r="A42" s="115">
        <v>1274593</v>
      </c>
      <c r="B42" s="116">
        <v>45554</v>
      </c>
      <c r="C42" s="115" t="s">
        <v>124</v>
      </c>
      <c r="D42" s="115">
        <v>215</v>
      </c>
      <c r="E42" s="115"/>
      <c r="F42" s="115">
        <v>548.41</v>
      </c>
    </row>
    <row r="43" spans="1:6" ht="15" thickBot="1" x14ac:dyDescent="0.35">
      <c r="A43" s="115">
        <v>1275829</v>
      </c>
      <c r="B43" s="116">
        <v>45559</v>
      </c>
      <c r="C43" s="115" t="s">
        <v>125</v>
      </c>
      <c r="D43" s="115"/>
      <c r="E43" s="115">
        <v>50</v>
      </c>
      <c r="F43" s="115">
        <v>598.41</v>
      </c>
    </row>
    <row r="44" spans="1:6" ht="15" thickBot="1" x14ac:dyDescent="0.35">
      <c r="A44" s="115">
        <v>1275832</v>
      </c>
      <c r="B44" s="116">
        <v>45559</v>
      </c>
      <c r="C44" s="115" t="s">
        <v>126</v>
      </c>
      <c r="D44" s="115">
        <v>7.51</v>
      </c>
      <c r="E44" s="115"/>
      <c r="F44" s="115">
        <v>590.9</v>
      </c>
    </row>
    <row r="45" spans="1:6" ht="15" thickBot="1" x14ac:dyDescent="0.35">
      <c r="A45" s="115">
        <v>1280621</v>
      </c>
      <c r="B45" s="116">
        <v>45565</v>
      </c>
      <c r="C45" s="115" t="s">
        <v>79</v>
      </c>
      <c r="D45" s="115">
        <v>533</v>
      </c>
      <c r="E45" s="115"/>
      <c r="F45" s="115">
        <v>57.9</v>
      </c>
    </row>
    <row r="46" spans="1:6" x14ac:dyDescent="0.3">
      <c r="A46" s="115"/>
      <c r="B46" s="115"/>
      <c r="C46" s="115"/>
      <c r="D46" s="119">
        <v>900.66</v>
      </c>
      <c r="E46" s="119">
        <v>950</v>
      </c>
      <c r="F46" s="119">
        <v>57.9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F10-4302-474A-9D37-992C211FD011}">
  <dimension ref="A1:X30"/>
  <sheetViews>
    <sheetView workbookViewId="0">
      <selection activeCell="A16" sqref="A16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2.4414062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120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117</v>
      </c>
      <c r="B7" s="110"/>
      <c r="C7" s="110"/>
      <c r="D7" s="110"/>
      <c r="E7" s="110"/>
      <c r="F7" s="110"/>
      <c r="J7" s="112" t="s">
        <v>117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286.61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1232770</v>
      </c>
      <c r="B11" s="116">
        <v>45505</v>
      </c>
      <c r="C11" s="115" t="s">
        <v>57</v>
      </c>
      <c r="D11" s="115"/>
      <c r="E11" s="115">
        <v>50</v>
      </c>
      <c r="F11" s="115">
        <v>336.61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-50</v>
      </c>
      <c r="U11" s="115">
        <v>50</v>
      </c>
      <c r="V11" s="115">
        <v>0</v>
      </c>
      <c r="W11" s="115">
        <v>0</v>
      </c>
      <c r="X11" s="115">
        <v>0</v>
      </c>
    </row>
    <row r="12" spans="1:24" ht="15" thickBot="1" x14ac:dyDescent="0.35">
      <c r="A12" s="115">
        <v>1232773</v>
      </c>
      <c r="B12" s="116">
        <v>45505</v>
      </c>
      <c r="C12" s="115" t="s">
        <v>58</v>
      </c>
      <c r="D12" s="115">
        <v>7.51</v>
      </c>
      <c r="E12" s="115"/>
      <c r="F12" s="115">
        <v>329.1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50</v>
      </c>
      <c r="X12" s="115">
        <v>0</v>
      </c>
    </row>
    <row r="13" spans="1:24" ht="15" thickBot="1" x14ac:dyDescent="0.35">
      <c r="A13" s="115">
        <v>1232777</v>
      </c>
      <c r="B13" s="116">
        <v>45505</v>
      </c>
      <c r="C13" s="115" t="s">
        <v>84</v>
      </c>
      <c r="D13" s="115"/>
      <c r="E13" s="115">
        <v>50</v>
      </c>
      <c r="F13" s="115">
        <v>379.1</v>
      </c>
      <c r="R13" s="115">
        <v>5821</v>
      </c>
      <c r="S13" s="115" t="s">
        <v>93</v>
      </c>
      <c r="T13" s="115">
        <v>50</v>
      </c>
      <c r="U13" s="115">
        <v>50</v>
      </c>
      <c r="V13" s="115">
        <v>100</v>
      </c>
      <c r="W13" s="115">
        <v>100</v>
      </c>
      <c r="X13" s="115">
        <v>0</v>
      </c>
    </row>
    <row r="14" spans="1:24" ht="15" thickBot="1" x14ac:dyDescent="0.35">
      <c r="A14" s="115">
        <v>1232780</v>
      </c>
      <c r="B14" s="116">
        <v>45505</v>
      </c>
      <c r="C14" s="115" t="s">
        <v>85</v>
      </c>
      <c r="D14" s="115">
        <v>7.51</v>
      </c>
      <c r="E14" s="115"/>
      <c r="F14" s="115">
        <v>371.59</v>
      </c>
      <c r="R14" s="115">
        <v>5822</v>
      </c>
      <c r="S14" s="115" t="s">
        <v>94</v>
      </c>
      <c r="T14" s="115">
        <v>-50</v>
      </c>
      <c r="U14" s="115">
        <v>50</v>
      </c>
      <c r="V14" s="115">
        <v>0</v>
      </c>
      <c r="W14" s="115">
        <v>0</v>
      </c>
      <c r="X14" s="115">
        <v>0</v>
      </c>
    </row>
    <row r="15" spans="1:24" ht="15" thickBot="1" x14ac:dyDescent="0.35">
      <c r="A15" s="115">
        <v>1249515</v>
      </c>
      <c r="B15" s="116">
        <v>45523</v>
      </c>
      <c r="C15" s="115" t="s">
        <v>108</v>
      </c>
      <c r="D15" s="115"/>
      <c r="E15" s="115">
        <v>50</v>
      </c>
      <c r="F15" s="115">
        <v>421.59</v>
      </c>
      <c r="R15" s="115">
        <v>5823</v>
      </c>
      <c r="S15" s="115" t="s">
        <v>95</v>
      </c>
      <c r="T15" s="115">
        <v>0</v>
      </c>
      <c r="U15" s="115">
        <v>50</v>
      </c>
      <c r="V15" s="115">
        <v>50</v>
      </c>
      <c r="W15" s="115">
        <v>0</v>
      </c>
      <c r="X15" s="115">
        <v>50</v>
      </c>
    </row>
    <row r="16" spans="1:24" ht="15" thickBot="1" x14ac:dyDescent="0.35">
      <c r="A16" s="115">
        <v>1249518</v>
      </c>
      <c r="B16" s="116">
        <v>45523</v>
      </c>
      <c r="C16" s="115" t="s">
        <v>109</v>
      </c>
      <c r="D16" s="115">
        <v>7.51</v>
      </c>
      <c r="E16" s="115"/>
      <c r="F16" s="115">
        <v>414.08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7">
        <v>1250603</v>
      </c>
      <c r="B17" s="118">
        <v>45525</v>
      </c>
      <c r="C17" s="117" t="s">
        <v>110</v>
      </c>
      <c r="D17" s="117"/>
      <c r="E17" s="117">
        <v>50</v>
      </c>
      <c r="F17" s="117">
        <v>464.08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50</v>
      </c>
      <c r="X17" s="115">
        <v>0</v>
      </c>
    </row>
    <row r="18" spans="1:24" ht="15" thickBot="1" x14ac:dyDescent="0.35">
      <c r="A18" s="115">
        <v>1250606</v>
      </c>
      <c r="B18" s="116">
        <v>45525</v>
      </c>
      <c r="C18" s="115" t="s">
        <v>111</v>
      </c>
      <c r="D18" s="115">
        <v>7.51</v>
      </c>
      <c r="E18" s="115"/>
      <c r="F18" s="115">
        <v>456.57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15">
        <v>1253005</v>
      </c>
      <c r="B19" s="116">
        <v>45532</v>
      </c>
      <c r="C19" s="115" t="s">
        <v>112</v>
      </c>
      <c r="D19" s="115"/>
      <c r="E19" s="115">
        <v>100</v>
      </c>
      <c r="F19" s="115">
        <v>556.57000000000005</v>
      </c>
      <c r="R19" s="115">
        <v>5827</v>
      </c>
      <c r="S19" s="115" t="s">
        <v>99</v>
      </c>
      <c r="T19" s="115">
        <v>-50</v>
      </c>
      <c r="U19" s="115">
        <v>50</v>
      </c>
      <c r="V19" s="115">
        <v>0</v>
      </c>
      <c r="W19" s="115">
        <v>0</v>
      </c>
      <c r="X19" s="115">
        <v>0</v>
      </c>
    </row>
    <row r="20" spans="1:24" ht="15" thickBot="1" x14ac:dyDescent="0.35">
      <c r="A20" s="115">
        <v>1253008</v>
      </c>
      <c r="B20" s="116">
        <v>45532</v>
      </c>
      <c r="C20" s="115" t="s">
        <v>113</v>
      </c>
      <c r="D20" s="115">
        <v>15.01</v>
      </c>
      <c r="E20" s="115"/>
      <c r="F20" s="115">
        <v>541.55999999999995</v>
      </c>
      <c r="R20" s="115">
        <v>5828</v>
      </c>
      <c r="S20" s="115" t="s">
        <v>100</v>
      </c>
      <c r="T20" s="115">
        <v>-50</v>
      </c>
      <c r="U20" s="115">
        <v>50</v>
      </c>
      <c r="V20" s="115">
        <v>0</v>
      </c>
      <c r="W20" s="115">
        <v>0</v>
      </c>
      <c r="X20" s="115">
        <v>0</v>
      </c>
    </row>
    <row r="21" spans="1:24" ht="15" thickBot="1" x14ac:dyDescent="0.35">
      <c r="A21" s="115">
        <v>1263906</v>
      </c>
      <c r="B21" s="116">
        <v>45534</v>
      </c>
      <c r="C21" s="115" t="s">
        <v>79</v>
      </c>
      <c r="D21" s="115">
        <v>533</v>
      </c>
      <c r="E21" s="115"/>
      <c r="F21" s="115">
        <v>58.56</v>
      </c>
      <c r="G21">
        <f>F20-D21</f>
        <v>8.5599999999999454</v>
      </c>
      <c r="R21" s="115">
        <v>5829</v>
      </c>
      <c r="S21" s="115" t="s">
        <v>101</v>
      </c>
      <c r="T21" s="115">
        <v>-50</v>
      </c>
      <c r="U21" s="115">
        <v>50</v>
      </c>
      <c r="V21" s="115">
        <v>0</v>
      </c>
      <c r="W21" s="115">
        <v>0</v>
      </c>
      <c r="X21" s="115">
        <v>0</v>
      </c>
    </row>
    <row r="22" spans="1:24" ht="15" thickBot="1" x14ac:dyDescent="0.35">
      <c r="A22" s="115"/>
      <c r="B22" s="115"/>
      <c r="C22" s="115"/>
      <c r="D22" s="119">
        <v>578.04999999999995</v>
      </c>
      <c r="E22" s="119">
        <v>300</v>
      </c>
      <c r="F22" s="119">
        <v>58.56</v>
      </c>
      <c r="R22" s="117">
        <v>5830</v>
      </c>
      <c r="S22" s="117" t="s">
        <v>102</v>
      </c>
      <c r="T22" s="117">
        <v>-100</v>
      </c>
      <c r="U22" s="117">
        <v>50</v>
      </c>
      <c r="V22" s="117">
        <v>-50</v>
      </c>
      <c r="W22" s="117">
        <v>0</v>
      </c>
      <c r="X22" s="117">
        <v>-50</v>
      </c>
    </row>
    <row r="23" spans="1:24" ht="15" thickBot="1" x14ac:dyDescent="0.35">
      <c r="R23" s="115">
        <v>5831</v>
      </c>
      <c r="S23" s="115" t="s">
        <v>103</v>
      </c>
      <c r="T23" s="115">
        <v>-50</v>
      </c>
      <c r="U23" s="115">
        <v>50</v>
      </c>
      <c r="V23" s="115">
        <v>0</v>
      </c>
      <c r="W23" s="115">
        <v>0</v>
      </c>
      <c r="X23" s="115">
        <v>0</v>
      </c>
    </row>
    <row r="24" spans="1:24" ht="15" thickBot="1" x14ac:dyDescent="0.35">
      <c r="R24" s="115">
        <v>5832</v>
      </c>
      <c r="S24" s="115" t="s">
        <v>104</v>
      </c>
      <c r="T24" s="115">
        <v>-50</v>
      </c>
      <c r="U24" s="115">
        <v>50</v>
      </c>
      <c r="V24" s="115">
        <v>0</v>
      </c>
      <c r="W24" s="115">
        <v>0</v>
      </c>
      <c r="X24" s="115">
        <v>0</v>
      </c>
    </row>
    <row r="25" spans="1:24" ht="15" thickBot="1" x14ac:dyDescent="0.35">
      <c r="R25" s="115">
        <v>5833</v>
      </c>
      <c r="S25" s="115" t="s">
        <v>105</v>
      </c>
      <c r="T25" s="115">
        <v>-50</v>
      </c>
      <c r="U25" s="115">
        <v>50</v>
      </c>
      <c r="V25" s="115">
        <v>0</v>
      </c>
      <c r="W25" s="115">
        <v>0</v>
      </c>
      <c r="X25" s="115">
        <v>0</v>
      </c>
    </row>
    <row r="26" spans="1:24" ht="15" thickBot="1" x14ac:dyDescent="0.35">
      <c r="R26" s="115">
        <v>5834</v>
      </c>
      <c r="S26" s="115" t="s">
        <v>106</v>
      </c>
      <c r="T26" s="115">
        <v>-50</v>
      </c>
      <c r="U26" s="115">
        <v>50</v>
      </c>
      <c r="V26" s="115">
        <v>0</v>
      </c>
      <c r="W26" s="115">
        <v>0</v>
      </c>
      <c r="X26" s="115">
        <v>0</v>
      </c>
    </row>
    <row r="27" spans="1:24" x14ac:dyDescent="0.3">
      <c r="R27" s="115"/>
      <c r="S27" s="115"/>
      <c r="T27" s="121">
        <v>-500</v>
      </c>
      <c r="U27" s="121">
        <v>850</v>
      </c>
      <c r="V27" s="121">
        <v>350</v>
      </c>
      <c r="W27" s="121">
        <v>300</v>
      </c>
      <c r="X27" s="121">
        <v>50</v>
      </c>
    </row>
    <row r="28" spans="1:24" x14ac:dyDescent="0.3">
      <c r="X28">
        <f>X22</f>
        <v>-50</v>
      </c>
    </row>
    <row r="29" spans="1:24" x14ac:dyDescent="0.3">
      <c r="X29">
        <f>X28*-1</f>
        <v>50</v>
      </c>
    </row>
    <row r="30" spans="1:24" x14ac:dyDescent="0.3">
      <c r="X30">
        <f>X27+X29</f>
        <v>100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44"/>
  <sheetViews>
    <sheetView topLeftCell="A29" workbookViewId="0">
      <selection activeCell="A44" sqref="A44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41.44140625" customWidth="1"/>
    <col min="4" max="6" width="9" bestFit="1" customWidth="1"/>
  </cols>
  <sheetData>
    <row r="1" spans="1:25" x14ac:dyDescent="0.3">
      <c r="A1" s="124" t="s">
        <v>20</v>
      </c>
      <c r="B1" s="125"/>
      <c r="C1" s="125"/>
      <c r="D1" s="125"/>
      <c r="E1" s="125"/>
      <c r="F1" s="125"/>
      <c r="J1" s="109" t="s">
        <v>20</v>
      </c>
      <c r="K1" s="110"/>
      <c r="L1" s="110"/>
      <c r="M1" s="110"/>
      <c r="N1" s="110"/>
      <c r="O1" s="110"/>
      <c r="S1" s="124" t="s">
        <v>29</v>
      </c>
      <c r="T1" s="125"/>
      <c r="U1" s="125"/>
      <c r="V1" s="125"/>
      <c r="W1" s="125"/>
      <c r="X1" s="125"/>
      <c r="Y1" s="125"/>
    </row>
    <row r="2" spans="1:25" x14ac:dyDescent="0.3">
      <c r="A2" s="125"/>
      <c r="B2" s="125"/>
      <c r="C2" s="125"/>
      <c r="D2" s="125"/>
      <c r="E2" s="125"/>
      <c r="F2" s="125"/>
      <c r="J2" s="110"/>
      <c r="K2" s="110"/>
      <c r="L2" s="110"/>
      <c r="M2" s="110"/>
      <c r="N2" s="110"/>
      <c r="O2" s="110"/>
      <c r="S2" s="171" t="s">
        <v>87</v>
      </c>
      <c r="T2" s="125"/>
      <c r="U2" s="125"/>
      <c r="V2" s="125"/>
      <c r="W2" s="125"/>
      <c r="X2" s="125"/>
      <c r="Y2" s="125"/>
    </row>
    <row r="3" spans="1:25" x14ac:dyDescent="0.3">
      <c r="A3" s="126" t="s">
        <v>140</v>
      </c>
      <c r="B3" s="125"/>
      <c r="C3" s="125"/>
      <c r="D3" s="125"/>
      <c r="E3" s="125"/>
      <c r="F3" s="125"/>
      <c r="J3" s="111" t="s">
        <v>114</v>
      </c>
      <c r="K3" s="110"/>
      <c r="L3" s="110"/>
      <c r="M3" s="110"/>
      <c r="N3" s="110"/>
      <c r="O3" s="110"/>
      <c r="S3" s="171" t="s">
        <v>279</v>
      </c>
      <c r="T3" s="125"/>
      <c r="U3" s="125"/>
      <c r="V3" s="125"/>
      <c r="W3" s="125"/>
      <c r="X3" s="125"/>
      <c r="Y3" s="125"/>
    </row>
    <row r="4" spans="1:25" x14ac:dyDescent="0.3">
      <c r="A4" s="125"/>
      <c r="B4" s="125"/>
      <c r="C4" s="125"/>
      <c r="D4" s="125"/>
      <c r="E4" s="125"/>
      <c r="F4" s="125"/>
      <c r="J4" s="110"/>
      <c r="K4" s="110"/>
      <c r="L4" s="110"/>
      <c r="M4" s="110"/>
      <c r="N4" s="110"/>
      <c r="O4" s="110"/>
      <c r="S4" s="171" t="s">
        <v>30</v>
      </c>
      <c r="T4" s="125"/>
      <c r="U4" s="125"/>
      <c r="V4" s="125"/>
      <c r="W4" s="125"/>
      <c r="X4" s="125"/>
      <c r="Y4" s="125"/>
    </row>
    <row r="5" spans="1:25" x14ac:dyDescent="0.3">
      <c r="A5" s="127" t="s">
        <v>141</v>
      </c>
      <c r="B5" s="125"/>
      <c r="C5" s="125"/>
      <c r="D5" s="125"/>
      <c r="E5" s="125"/>
      <c r="F5" s="125"/>
      <c r="J5" s="112" t="s">
        <v>118</v>
      </c>
      <c r="K5" s="110"/>
      <c r="L5" s="110"/>
      <c r="M5" s="110"/>
      <c r="N5" s="110"/>
      <c r="O5" s="110"/>
      <c r="S5" s="125"/>
      <c r="T5" s="125"/>
      <c r="U5" s="125"/>
      <c r="V5" s="125"/>
      <c r="W5" s="125"/>
      <c r="X5" s="125"/>
      <c r="Y5" s="125"/>
    </row>
    <row r="6" spans="1:25" x14ac:dyDescent="0.3">
      <c r="A6" s="127" t="s">
        <v>142</v>
      </c>
      <c r="B6" s="125"/>
      <c r="C6" s="125"/>
      <c r="D6" s="125"/>
      <c r="E6" s="125"/>
      <c r="F6" s="125"/>
      <c r="J6" s="112" t="s">
        <v>119</v>
      </c>
      <c r="K6" s="110"/>
      <c r="L6" s="110"/>
      <c r="M6" s="110"/>
      <c r="N6" s="110"/>
      <c r="O6" s="110"/>
      <c r="S6" s="125"/>
      <c r="T6" s="125"/>
      <c r="U6" s="125"/>
      <c r="V6" s="125"/>
      <c r="W6" s="125"/>
      <c r="X6" s="125"/>
      <c r="Y6" s="125"/>
    </row>
    <row r="7" spans="1:25" x14ac:dyDescent="0.3">
      <c r="A7" s="127" t="s">
        <v>278</v>
      </c>
      <c r="B7" s="125"/>
      <c r="C7" s="125"/>
      <c r="D7" s="125"/>
      <c r="E7" s="125"/>
      <c r="F7" s="125"/>
      <c r="J7" s="112" t="s">
        <v>277</v>
      </c>
      <c r="K7" s="110"/>
      <c r="L7" s="110"/>
      <c r="M7" s="110"/>
      <c r="N7" s="110"/>
      <c r="O7" s="110"/>
      <c r="S7" s="125"/>
      <c r="T7" s="125"/>
      <c r="U7" s="125"/>
      <c r="V7" s="125"/>
      <c r="W7" s="125"/>
      <c r="X7" s="125"/>
      <c r="Y7" s="125"/>
    </row>
    <row r="8" spans="1:25" x14ac:dyDescent="0.3">
      <c r="A8" s="128"/>
      <c r="B8" s="125"/>
      <c r="C8" s="125"/>
      <c r="D8" s="125"/>
      <c r="E8" s="125"/>
      <c r="F8" s="125"/>
      <c r="J8" s="113"/>
      <c r="K8" s="110"/>
      <c r="L8" s="110"/>
      <c r="M8" s="110"/>
      <c r="N8" s="110"/>
      <c r="O8" s="110"/>
      <c r="S8" s="171" t="s">
        <v>89</v>
      </c>
      <c r="T8" s="125"/>
      <c r="U8" s="125"/>
      <c r="V8" s="125"/>
      <c r="W8" s="125"/>
      <c r="X8" s="125"/>
      <c r="Y8" s="125"/>
    </row>
    <row r="9" spans="1:25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P9" s="86"/>
      <c r="S9" s="86" t="s">
        <v>31</v>
      </c>
      <c r="T9" s="86" t="s">
        <v>32</v>
      </c>
      <c r="U9" s="86" t="s">
        <v>8</v>
      </c>
      <c r="V9" s="86" t="s">
        <v>33</v>
      </c>
      <c r="W9" s="86" t="s">
        <v>10</v>
      </c>
      <c r="X9" s="86" t="s">
        <v>11</v>
      </c>
      <c r="Y9" s="86" t="s">
        <v>12</v>
      </c>
    </row>
    <row r="10" spans="1:25" ht="15" thickBot="1" x14ac:dyDescent="0.35">
      <c r="A10" s="129"/>
      <c r="B10" s="129"/>
      <c r="C10" s="129" t="s">
        <v>28</v>
      </c>
      <c r="D10" s="129"/>
      <c r="E10" s="129"/>
      <c r="F10" s="129">
        <v>-291</v>
      </c>
      <c r="G10" s="108"/>
      <c r="J10" s="115"/>
      <c r="K10" s="115"/>
      <c r="L10" s="115" t="s">
        <v>28</v>
      </c>
      <c r="M10" s="115"/>
      <c r="N10" s="115"/>
      <c r="O10" s="115">
        <v>0</v>
      </c>
      <c r="P10" s="80"/>
      <c r="S10" s="129">
        <v>5817</v>
      </c>
      <c r="T10" s="129" t="s">
        <v>90</v>
      </c>
      <c r="U10" s="129">
        <v>-50</v>
      </c>
      <c r="V10" s="129">
        <v>50</v>
      </c>
      <c r="W10" s="129">
        <v>0</v>
      </c>
      <c r="X10" s="129">
        <v>0</v>
      </c>
      <c r="Y10" s="129">
        <v>0</v>
      </c>
    </row>
    <row r="11" spans="1:25" ht="15" thickBot="1" x14ac:dyDescent="0.35">
      <c r="A11" s="129">
        <v>1391128</v>
      </c>
      <c r="B11" s="130">
        <v>45839</v>
      </c>
      <c r="C11" s="129" t="s">
        <v>248</v>
      </c>
      <c r="D11" s="129"/>
      <c r="E11" s="129">
        <v>50</v>
      </c>
      <c r="F11" s="129">
        <v>-241</v>
      </c>
      <c r="G11" s="108"/>
      <c r="J11" s="115"/>
      <c r="K11" s="115"/>
      <c r="L11" s="115"/>
      <c r="M11" s="119">
        <v>0</v>
      </c>
      <c r="N11" s="119">
        <v>0</v>
      </c>
      <c r="O11" s="119">
        <v>0</v>
      </c>
      <c r="P11" s="80"/>
      <c r="S11" s="129">
        <v>5819</v>
      </c>
      <c r="T11" s="129" t="s">
        <v>91</v>
      </c>
      <c r="U11" s="129">
        <v>0</v>
      </c>
      <c r="V11" s="129">
        <v>50</v>
      </c>
      <c r="W11" s="129">
        <v>50</v>
      </c>
      <c r="X11" s="129">
        <v>50</v>
      </c>
      <c r="Y11" s="129">
        <v>0</v>
      </c>
    </row>
    <row r="12" spans="1:25" ht="15" thickBot="1" x14ac:dyDescent="0.35">
      <c r="A12" s="129">
        <v>1391131</v>
      </c>
      <c r="B12" s="130">
        <v>45839</v>
      </c>
      <c r="C12" s="129" t="s">
        <v>249</v>
      </c>
      <c r="D12" s="129">
        <v>7.51</v>
      </c>
      <c r="E12" s="129"/>
      <c r="F12" s="129">
        <v>-248.51</v>
      </c>
      <c r="G12" s="108"/>
      <c r="J12" s="80"/>
      <c r="K12" s="80"/>
      <c r="L12" s="80"/>
      <c r="M12" s="80"/>
      <c r="N12" s="80"/>
      <c r="O12" s="80"/>
      <c r="P12" s="80"/>
      <c r="S12" s="129">
        <v>5820</v>
      </c>
      <c r="T12" s="176" t="s">
        <v>92</v>
      </c>
      <c r="U12" s="129">
        <v>0</v>
      </c>
      <c r="V12" s="129">
        <v>190</v>
      </c>
      <c r="W12" s="129">
        <v>190</v>
      </c>
      <c r="X12" s="129">
        <v>240</v>
      </c>
      <c r="Y12" s="129">
        <v>-50</v>
      </c>
    </row>
    <row r="13" spans="1:25" ht="15" thickBot="1" x14ac:dyDescent="0.35">
      <c r="A13" s="129">
        <v>1393636</v>
      </c>
      <c r="B13" s="130">
        <v>45841</v>
      </c>
      <c r="C13" s="129" t="s">
        <v>250</v>
      </c>
      <c r="D13" s="129"/>
      <c r="E13" s="129">
        <v>50</v>
      </c>
      <c r="F13" s="129">
        <v>-198.51</v>
      </c>
      <c r="G13" s="108"/>
      <c r="J13" s="80"/>
      <c r="K13" s="80"/>
      <c r="L13" s="80"/>
      <c r="M13" s="80"/>
      <c r="N13" s="80"/>
      <c r="O13" s="80"/>
      <c r="P13" s="80"/>
      <c r="S13" s="129">
        <v>5821</v>
      </c>
      <c r="T13" s="129" t="s">
        <v>93</v>
      </c>
      <c r="U13" s="129">
        <v>20</v>
      </c>
      <c r="V13" s="129">
        <v>50</v>
      </c>
      <c r="W13" s="129">
        <v>70</v>
      </c>
      <c r="X13" s="129">
        <v>50</v>
      </c>
      <c r="Y13" s="129">
        <v>20</v>
      </c>
    </row>
    <row r="14" spans="1:25" ht="15" thickBot="1" x14ac:dyDescent="0.35">
      <c r="A14" s="129">
        <v>1393639</v>
      </c>
      <c r="B14" s="130">
        <v>45841</v>
      </c>
      <c r="C14" s="129" t="s">
        <v>251</v>
      </c>
      <c r="D14" s="129">
        <v>7.51</v>
      </c>
      <c r="E14" s="129"/>
      <c r="F14" s="129">
        <v>-206.02</v>
      </c>
      <c r="J14" s="80"/>
      <c r="K14" s="80"/>
      <c r="L14" s="80"/>
      <c r="M14" s="80"/>
      <c r="N14" s="80"/>
      <c r="O14" s="80"/>
      <c r="P14" s="80"/>
      <c r="S14" s="129">
        <v>5822</v>
      </c>
      <c r="T14" s="129" t="s">
        <v>94</v>
      </c>
      <c r="U14" s="129">
        <v>0</v>
      </c>
      <c r="V14" s="129">
        <v>50</v>
      </c>
      <c r="W14" s="129">
        <v>50</v>
      </c>
      <c r="X14" s="129">
        <v>0</v>
      </c>
      <c r="Y14" s="129">
        <v>50</v>
      </c>
    </row>
    <row r="15" spans="1:25" ht="15" thickBot="1" x14ac:dyDescent="0.35">
      <c r="A15" s="129">
        <v>1393643</v>
      </c>
      <c r="B15" s="130">
        <v>45841</v>
      </c>
      <c r="C15" s="129" t="s">
        <v>252</v>
      </c>
      <c r="D15" s="129"/>
      <c r="E15" s="129">
        <v>50</v>
      </c>
      <c r="F15" s="129">
        <v>-156.02000000000001</v>
      </c>
      <c r="J15" s="80"/>
      <c r="K15" s="80"/>
      <c r="L15" s="80"/>
      <c r="M15" s="80"/>
      <c r="N15" s="80"/>
      <c r="O15" s="80"/>
      <c r="P15" s="80"/>
      <c r="S15" s="129">
        <v>5823</v>
      </c>
      <c r="T15" s="129" t="s">
        <v>95</v>
      </c>
      <c r="U15" s="129">
        <v>68</v>
      </c>
      <c r="V15" s="129">
        <v>50</v>
      </c>
      <c r="W15" s="129">
        <v>118</v>
      </c>
      <c r="X15" s="129">
        <v>58</v>
      </c>
      <c r="Y15" s="129">
        <v>60</v>
      </c>
    </row>
    <row r="16" spans="1:25" ht="15" thickBot="1" x14ac:dyDescent="0.35">
      <c r="A16" s="129">
        <v>1393646</v>
      </c>
      <c r="B16" s="130">
        <v>45841</v>
      </c>
      <c r="C16" s="129" t="s">
        <v>253</v>
      </c>
      <c r="D16" s="129">
        <v>7.51</v>
      </c>
      <c r="E16" s="129"/>
      <c r="F16" s="129">
        <v>-163.53</v>
      </c>
      <c r="J16" s="80"/>
      <c r="K16" s="80"/>
      <c r="L16" s="80"/>
      <c r="M16" s="80"/>
      <c r="N16" s="80"/>
      <c r="O16" s="80"/>
      <c r="P16" s="80"/>
      <c r="S16" s="129">
        <v>5824</v>
      </c>
      <c r="T16" s="129" t="s">
        <v>96</v>
      </c>
      <c r="U16" s="129">
        <v>0</v>
      </c>
      <c r="V16" s="129">
        <v>50</v>
      </c>
      <c r="W16" s="129">
        <v>50</v>
      </c>
      <c r="X16" s="129">
        <v>50</v>
      </c>
      <c r="Y16" s="129">
        <v>0</v>
      </c>
    </row>
    <row r="17" spans="1:25" ht="15" thickBot="1" x14ac:dyDescent="0.35">
      <c r="A17" s="129">
        <v>1393661</v>
      </c>
      <c r="B17" s="130">
        <v>45841</v>
      </c>
      <c r="C17" s="129" t="s">
        <v>254</v>
      </c>
      <c r="D17" s="129"/>
      <c r="E17" s="129">
        <v>50</v>
      </c>
      <c r="F17" s="129">
        <v>-113.53</v>
      </c>
      <c r="J17" s="80"/>
      <c r="K17" s="80"/>
      <c r="L17" s="80"/>
      <c r="M17" s="80"/>
      <c r="N17" s="80"/>
      <c r="O17" s="80"/>
      <c r="P17" s="80"/>
      <c r="S17" s="129">
        <v>5825</v>
      </c>
      <c r="T17" s="129" t="s">
        <v>97</v>
      </c>
      <c r="U17" s="129">
        <v>0</v>
      </c>
      <c r="V17" s="129">
        <v>50</v>
      </c>
      <c r="W17" s="129">
        <v>50</v>
      </c>
      <c r="X17" s="129">
        <v>0</v>
      </c>
      <c r="Y17" s="129">
        <v>50</v>
      </c>
    </row>
    <row r="18" spans="1:25" ht="15" thickBot="1" x14ac:dyDescent="0.35">
      <c r="A18" s="129">
        <v>1393664</v>
      </c>
      <c r="B18" s="130">
        <v>45841</v>
      </c>
      <c r="C18" s="129" t="s">
        <v>255</v>
      </c>
      <c r="D18" s="129">
        <v>7.51</v>
      </c>
      <c r="E18" s="129"/>
      <c r="F18" s="129">
        <v>-121.04</v>
      </c>
      <c r="J18" s="80"/>
      <c r="K18" s="80"/>
      <c r="L18" s="80"/>
      <c r="M18" s="80"/>
      <c r="N18" s="80"/>
      <c r="O18" s="80"/>
      <c r="P18" s="80"/>
      <c r="S18" s="169">
        <v>5826</v>
      </c>
      <c r="T18" s="169" t="s">
        <v>98</v>
      </c>
      <c r="U18" s="169">
        <v>50</v>
      </c>
      <c r="V18" s="169">
        <v>50</v>
      </c>
      <c r="W18" s="169">
        <v>100</v>
      </c>
      <c r="X18" s="169">
        <v>50</v>
      </c>
      <c r="Y18" s="169">
        <v>50</v>
      </c>
    </row>
    <row r="19" spans="1:25" ht="15" thickBot="1" x14ac:dyDescent="0.35">
      <c r="A19" s="129">
        <v>1393668</v>
      </c>
      <c r="B19" s="130">
        <v>45841</v>
      </c>
      <c r="C19" s="129" t="s">
        <v>256</v>
      </c>
      <c r="D19" s="129"/>
      <c r="E19" s="129">
        <v>50</v>
      </c>
      <c r="F19" s="129">
        <v>-71.040000000000006</v>
      </c>
      <c r="J19" s="80"/>
      <c r="K19" s="80"/>
      <c r="L19" s="80"/>
      <c r="M19" s="80"/>
      <c r="N19" s="80"/>
      <c r="O19" s="80"/>
      <c r="P19" s="80"/>
      <c r="S19" s="129">
        <v>5827</v>
      </c>
      <c r="T19" s="129" t="s">
        <v>99</v>
      </c>
      <c r="U19" s="129">
        <v>50</v>
      </c>
      <c r="V19" s="129">
        <v>50</v>
      </c>
      <c r="W19" s="129">
        <v>100</v>
      </c>
      <c r="X19" s="129">
        <v>100</v>
      </c>
      <c r="Y19" s="129">
        <v>0</v>
      </c>
    </row>
    <row r="20" spans="1:25" ht="15" thickBot="1" x14ac:dyDescent="0.35">
      <c r="A20" s="129">
        <v>1393671</v>
      </c>
      <c r="B20" s="130">
        <v>45841</v>
      </c>
      <c r="C20" s="129" t="s">
        <v>257</v>
      </c>
      <c r="D20" s="129">
        <v>7.51</v>
      </c>
      <c r="E20" s="129"/>
      <c r="F20" s="129">
        <v>-78.55</v>
      </c>
      <c r="J20" s="80"/>
      <c r="K20" s="80"/>
      <c r="L20" s="80"/>
      <c r="M20" s="80"/>
      <c r="N20" s="80"/>
      <c r="O20" s="80"/>
      <c r="P20" s="80"/>
      <c r="S20" s="129">
        <v>5828</v>
      </c>
      <c r="T20" s="129" t="s">
        <v>100</v>
      </c>
      <c r="U20" s="129">
        <v>0</v>
      </c>
      <c r="V20" s="129">
        <v>50</v>
      </c>
      <c r="W20" s="129">
        <v>50</v>
      </c>
      <c r="X20" s="129">
        <v>0</v>
      </c>
      <c r="Y20" s="129">
        <v>50</v>
      </c>
    </row>
    <row r="21" spans="1:25" ht="15" thickBot="1" x14ac:dyDescent="0.35">
      <c r="A21" s="129">
        <v>1393675</v>
      </c>
      <c r="B21" s="130">
        <v>45841</v>
      </c>
      <c r="C21" s="129" t="s">
        <v>258</v>
      </c>
      <c r="D21" s="129"/>
      <c r="E21" s="129">
        <v>50</v>
      </c>
      <c r="F21" s="129">
        <v>-28.55</v>
      </c>
      <c r="J21" s="80"/>
      <c r="K21" s="80"/>
      <c r="L21" s="80"/>
      <c r="M21" s="80"/>
      <c r="N21" s="80"/>
      <c r="O21" s="80"/>
      <c r="P21" s="80"/>
      <c r="S21" s="129">
        <v>5829</v>
      </c>
      <c r="T21" s="129" t="s">
        <v>101</v>
      </c>
      <c r="U21" s="129">
        <v>-50</v>
      </c>
      <c r="V21" s="129">
        <v>50</v>
      </c>
      <c r="W21" s="129">
        <v>0</v>
      </c>
      <c r="X21" s="129">
        <v>0</v>
      </c>
      <c r="Y21" s="129">
        <v>0</v>
      </c>
    </row>
    <row r="22" spans="1:25" ht="15" thickBot="1" x14ac:dyDescent="0.35">
      <c r="A22" s="129">
        <v>1393678</v>
      </c>
      <c r="B22" s="130">
        <v>45841</v>
      </c>
      <c r="C22" s="129" t="s">
        <v>259</v>
      </c>
      <c r="D22" s="129">
        <v>7.51</v>
      </c>
      <c r="E22" s="129"/>
      <c r="F22" s="129">
        <v>-36.06</v>
      </c>
      <c r="J22" s="82"/>
      <c r="K22" s="82"/>
      <c r="L22" s="82"/>
      <c r="M22" s="82"/>
      <c r="N22" s="82"/>
      <c r="O22" s="82"/>
      <c r="P22" s="82"/>
      <c r="S22" s="129">
        <v>5830</v>
      </c>
      <c r="T22" s="129" t="s">
        <v>102</v>
      </c>
      <c r="U22" s="129">
        <v>0</v>
      </c>
      <c r="V22" s="129">
        <v>50</v>
      </c>
      <c r="W22" s="129">
        <v>50</v>
      </c>
      <c r="X22" s="129">
        <v>50</v>
      </c>
      <c r="Y22" s="129">
        <v>0</v>
      </c>
    </row>
    <row r="23" spans="1:25" ht="15" thickBot="1" x14ac:dyDescent="0.35">
      <c r="A23" s="129">
        <v>1393682</v>
      </c>
      <c r="B23" s="130">
        <v>45841</v>
      </c>
      <c r="C23" s="129" t="s">
        <v>260</v>
      </c>
      <c r="D23" s="129"/>
      <c r="E23" s="129">
        <v>58</v>
      </c>
      <c r="F23" s="129">
        <v>21.94</v>
      </c>
      <c r="J23" s="80"/>
      <c r="K23" s="80"/>
      <c r="L23" s="80"/>
      <c r="M23" s="80"/>
      <c r="N23" s="80"/>
      <c r="O23" s="80"/>
      <c r="P23" s="80"/>
      <c r="S23" s="129">
        <v>5831</v>
      </c>
      <c r="T23" s="129" t="s">
        <v>103</v>
      </c>
      <c r="U23" s="129">
        <v>0</v>
      </c>
      <c r="V23" s="129">
        <v>50</v>
      </c>
      <c r="W23" s="129">
        <v>50</v>
      </c>
      <c r="X23" s="129">
        <v>50</v>
      </c>
      <c r="Y23" s="129">
        <v>0</v>
      </c>
    </row>
    <row r="24" spans="1:25" ht="15" thickBot="1" x14ac:dyDescent="0.35">
      <c r="A24" s="129">
        <v>1393685</v>
      </c>
      <c r="B24" s="130">
        <v>45841</v>
      </c>
      <c r="C24" s="129" t="s">
        <v>261</v>
      </c>
      <c r="D24" s="129">
        <v>8.7100000000000009</v>
      </c>
      <c r="E24" s="129"/>
      <c r="F24" s="129">
        <v>13.23</v>
      </c>
      <c r="J24" s="80"/>
      <c r="K24" s="80"/>
      <c r="L24" s="80"/>
      <c r="M24" s="80"/>
      <c r="N24" s="80"/>
      <c r="O24" s="80"/>
      <c r="P24" s="80"/>
      <c r="S24" s="129">
        <v>5832</v>
      </c>
      <c r="T24" s="129" t="s">
        <v>104</v>
      </c>
      <c r="U24" s="129">
        <v>0</v>
      </c>
      <c r="V24" s="129">
        <v>50</v>
      </c>
      <c r="W24" s="129">
        <v>50</v>
      </c>
      <c r="X24" s="129">
        <v>50</v>
      </c>
      <c r="Y24" s="129">
        <v>0</v>
      </c>
    </row>
    <row r="25" spans="1:25" ht="15" thickBot="1" x14ac:dyDescent="0.35">
      <c r="A25" s="129">
        <v>1393689</v>
      </c>
      <c r="B25" s="130">
        <v>45841</v>
      </c>
      <c r="C25" s="129" t="s">
        <v>262</v>
      </c>
      <c r="D25" s="129"/>
      <c r="E25" s="129">
        <v>50</v>
      </c>
      <c r="F25" s="129">
        <v>63.23</v>
      </c>
      <c r="J25" s="80"/>
      <c r="K25" s="80"/>
      <c r="L25" s="80"/>
      <c r="M25" s="80"/>
      <c r="N25" s="80"/>
      <c r="O25" s="80"/>
      <c r="P25" s="80"/>
      <c r="S25" s="129">
        <v>5833</v>
      </c>
      <c r="T25" s="129" t="s">
        <v>105</v>
      </c>
      <c r="U25" s="129">
        <v>0</v>
      </c>
      <c r="V25" s="129">
        <v>50</v>
      </c>
      <c r="W25" s="129">
        <v>50</v>
      </c>
      <c r="X25" s="129">
        <v>50</v>
      </c>
      <c r="Y25" s="129">
        <v>0</v>
      </c>
    </row>
    <row r="26" spans="1:25" ht="15" thickBot="1" x14ac:dyDescent="0.35">
      <c r="A26" s="129">
        <v>1393692</v>
      </c>
      <c r="B26" s="130">
        <v>45841</v>
      </c>
      <c r="C26" s="129" t="s">
        <v>263</v>
      </c>
      <c r="D26" s="129">
        <v>7.51</v>
      </c>
      <c r="E26" s="129"/>
      <c r="F26" s="129">
        <v>55.72</v>
      </c>
      <c r="J26" s="80"/>
      <c r="K26" s="80"/>
      <c r="L26" s="80"/>
      <c r="M26" s="80"/>
      <c r="N26" s="80"/>
      <c r="O26" s="80"/>
      <c r="P26" s="80"/>
      <c r="S26" s="129">
        <v>5834</v>
      </c>
      <c r="T26" s="129" t="s">
        <v>106</v>
      </c>
      <c r="U26" s="129">
        <v>0</v>
      </c>
      <c r="V26" s="129">
        <v>50</v>
      </c>
      <c r="W26" s="129">
        <v>50</v>
      </c>
      <c r="X26" s="129">
        <v>50</v>
      </c>
      <c r="Y26" s="129">
        <v>0</v>
      </c>
    </row>
    <row r="27" spans="1:25" ht="15" thickBot="1" x14ac:dyDescent="0.35">
      <c r="A27" s="129">
        <v>1393696</v>
      </c>
      <c r="B27" s="130">
        <v>45841</v>
      </c>
      <c r="C27" s="129" t="s">
        <v>264</v>
      </c>
      <c r="D27" s="129"/>
      <c r="E27" s="129">
        <v>50</v>
      </c>
      <c r="F27" s="129">
        <v>105.72</v>
      </c>
      <c r="J27" s="80"/>
      <c r="K27" s="80"/>
      <c r="L27" s="87"/>
      <c r="M27" s="87"/>
      <c r="N27" s="87"/>
      <c r="O27" s="87"/>
      <c r="P27" s="87"/>
      <c r="S27" s="129"/>
      <c r="T27" s="129"/>
      <c r="U27" s="172">
        <v>88</v>
      </c>
      <c r="V27" s="172">
        <v>990</v>
      </c>
      <c r="W27" s="172">
        <v>1078</v>
      </c>
      <c r="X27" s="172">
        <v>848</v>
      </c>
      <c r="Y27" s="172">
        <v>230</v>
      </c>
    </row>
    <row r="28" spans="1:25" ht="15" thickBot="1" x14ac:dyDescent="0.35">
      <c r="A28" s="129">
        <v>1393699</v>
      </c>
      <c r="B28" s="130">
        <v>45841</v>
      </c>
      <c r="C28" s="129" t="s">
        <v>265</v>
      </c>
      <c r="D28" s="129">
        <v>7.51</v>
      </c>
      <c r="E28" s="129"/>
      <c r="F28" s="129">
        <v>98.21</v>
      </c>
      <c r="Y28">
        <f>Y12*-1</f>
        <v>50</v>
      </c>
    </row>
    <row r="29" spans="1:25" ht="15" thickBot="1" x14ac:dyDescent="0.35">
      <c r="A29" s="129">
        <v>1393703</v>
      </c>
      <c r="B29" s="130">
        <v>45841</v>
      </c>
      <c r="C29" s="129" t="s">
        <v>266</v>
      </c>
      <c r="D29" s="129"/>
      <c r="E29" s="129">
        <v>50</v>
      </c>
      <c r="F29" s="129">
        <v>148.21</v>
      </c>
      <c r="Y29">
        <f>Y28+Y27</f>
        <v>280</v>
      </c>
    </row>
    <row r="30" spans="1:25" ht="15" thickBot="1" x14ac:dyDescent="0.35">
      <c r="A30" s="129">
        <v>1393706</v>
      </c>
      <c r="B30" s="130">
        <v>45841</v>
      </c>
      <c r="C30" s="129" t="s">
        <v>267</v>
      </c>
      <c r="D30" s="129">
        <v>7.51</v>
      </c>
      <c r="E30" s="129"/>
      <c r="F30" s="129">
        <v>140.69999999999999</v>
      </c>
    </row>
    <row r="31" spans="1:25" ht="15" thickBot="1" x14ac:dyDescent="0.35">
      <c r="A31" s="129">
        <v>1393710</v>
      </c>
      <c r="B31" s="130">
        <v>45841</v>
      </c>
      <c r="C31" s="129" t="s">
        <v>268</v>
      </c>
      <c r="D31" s="129"/>
      <c r="E31" s="176">
        <v>140</v>
      </c>
      <c r="F31" s="129">
        <v>280.7</v>
      </c>
    </row>
    <row r="32" spans="1:25" ht="15" thickBot="1" x14ac:dyDescent="0.35">
      <c r="A32" s="129">
        <v>1393713</v>
      </c>
      <c r="B32" s="130">
        <v>45841</v>
      </c>
      <c r="C32" s="129" t="s">
        <v>269</v>
      </c>
      <c r="D32" s="176">
        <v>21.01</v>
      </c>
      <c r="E32" s="129"/>
      <c r="F32" s="129">
        <v>259.69</v>
      </c>
    </row>
    <row r="33" spans="1:6" ht="15" thickBot="1" x14ac:dyDescent="0.35">
      <c r="A33" s="129">
        <v>1393865</v>
      </c>
      <c r="B33" s="130">
        <v>45841</v>
      </c>
      <c r="C33" s="129" t="s">
        <v>270</v>
      </c>
      <c r="D33" s="129">
        <v>67</v>
      </c>
      <c r="E33" s="129"/>
      <c r="F33" s="129">
        <v>192.69</v>
      </c>
    </row>
    <row r="34" spans="1:6" ht="15" thickBot="1" x14ac:dyDescent="0.35">
      <c r="A34" s="129">
        <v>1401077</v>
      </c>
      <c r="B34" s="130">
        <v>45841</v>
      </c>
      <c r="C34" s="129" t="s">
        <v>271</v>
      </c>
      <c r="D34" s="176">
        <v>140</v>
      </c>
      <c r="E34" s="129"/>
      <c r="F34" s="129">
        <v>52.69</v>
      </c>
    </row>
    <row r="35" spans="1:6" ht="15" thickBot="1" x14ac:dyDescent="0.35">
      <c r="A35" s="129">
        <v>1401081</v>
      </c>
      <c r="B35" s="130">
        <v>45841</v>
      </c>
      <c r="C35" s="129" t="s">
        <v>272</v>
      </c>
      <c r="D35" s="129"/>
      <c r="E35" s="176">
        <v>21.01</v>
      </c>
      <c r="F35" s="129">
        <v>73.7</v>
      </c>
    </row>
    <row r="36" spans="1:6" ht="15" thickBot="1" x14ac:dyDescent="0.35">
      <c r="A36" s="129">
        <v>1395379</v>
      </c>
      <c r="B36" s="130">
        <v>45845</v>
      </c>
      <c r="C36" s="129" t="s">
        <v>273</v>
      </c>
      <c r="D36" s="129"/>
      <c r="E36" s="129">
        <v>50</v>
      </c>
      <c r="F36" s="129">
        <v>123.7</v>
      </c>
    </row>
    <row r="37" spans="1:6" ht="15" thickBot="1" x14ac:dyDescent="0.35">
      <c r="A37" s="129">
        <v>1395382</v>
      </c>
      <c r="B37" s="130">
        <v>45845</v>
      </c>
      <c r="C37" s="129" t="s">
        <v>274</v>
      </c>
      <c r="D37" s="129">
        <v>7.51</v>
      </c>
      <c r="E37" s="129"/>
      <c r="F37" s="129">
        <v>116.19</v>
      </c>
    </row>
    <row r="38" spans="1:6" ht="15" thickBot="1" x14ac:dyDescent="0.35">
      <c r="A38" s="129">
        <v>1395767</v>
      </c>
      <c r="B38" s="130">
        <v>45845</v>
      </c>
      <c r="C38" s="129" t="s">
        <v>248</v>
      </c>
      <c r="D38" s="129"/>
      <c r="E38" s="129">
        <v>50</v>
      </c>
      <c r="F38" s="129">
        <v>166.19</v>
      </c>
    </row>
    <row r="39" spans="1:6" ht="15" thickBot="1" x14ac:dyDescent="0.35">
      <c r="A39" s="129">
        <v>1395770</v>
      </c>
      <c r="B39" s="130">
        <v>45845</v>
      </c>
      <c r="C39" s="129" t="s">
        <v>249</v>
      </c>
      <c r="D39" s="129">
        <v>7.51</v>
      </c>
      <c r="E39" s="129"/>
      <c r="F39" s="129">
        <v>158.68</v>
      </c>
    </row>
    <row r="40" spans="1:6" ht="15" thickBot="1" x14ac:dyDescent="0.35">
      <c r="A40" s="129">
        <v>1396851</v>
      </c>
      <c r="B40" s="130">
        <v>45846</v>
      </c>
      <c r="C40" s="129" t="s">
        <v>275</v>
      </c>
      <c r="D40" s="129"/>
      <c r="E40" s="129">
        <v>100</v>
      </c>
      <c r="F40" s="129">
        <v>258.68</v>
      </c>
    </row>
    <row r="41" spans="1:6" ht="15" thickBot="1" x14ac:dyDescent="0.35">
      <c r="A41" s="129">
        <v>1396854</v>
      </c>
      <c r="B41" s="130">
        <v>45846</v>
      </c>
      <c r="C41" s="129" t="s">
        <v>276</v>
      </c>
      <c r="D41" s="129">
        <v>15.01</v>
      </c>
      <c r="E41" s="129"/>
      <c r="F41" s="129">
        <v>243.67</v>
      </c>
    </row>
    <row r="42" spans="1:6" ht="15" thickBot="1" x14ac:dyDescent="0.35">
      <c r="A42" s="169">
        <v>1399856</v>
      </c>
      <c r="B42" s="170">
        <v>45853</v>
      </c>
      <c r="C42" s="169" t="s">
        <v>136</v>
      </c>
      <c r="D42" s="169">
        <v>63</v>
      </c>
      <c r="E42" s="169"/>
      <c r="F42" s="169">
        <v>180.67</v>
      </c>
    </row>
    <row r="43" spans="1:6" ht="15" thickBot="1" x14ac:dyDescent="0.35">
      <c r="A43" s="129">
        <v>1404550</v>
      </c>
      <c r="B43" s="130">
        <v>45869</v>
      </c>
      <c r="C43" s="129" t="s">
        <v>107</v>
      </c>
      <c r="D43" s="129">
        <v>543</v>
      </c>
      <c r="E43" s="129"/>
      <c r="F43" s="129">
        <v>-362.33</v>
      </c>
    </row>
    <row r="44" spans="1:6" x14ac:dyDescent="0.3">
      <c r="A44" s="129"/>
      <c r="B44" s="129"/>
      <c r="C44" s="129"/>
      <c r="D44" s="131">
        <v>940.34</v>
      </c>
      <c r="E44" s="131">
        <f>869.01-E35-E31</f>
        <v>708</v>
      </c>
      <c r="F44" s="131">
        <v>-362.33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9</xdr:col>
                <xdr:colOff>0</xdr:colOff>
                <xdr:row>27</xdr:row>
                <xdr:rowOff>0</xdr:rowOff>
              </from>
              <to>
                <xdr:col>9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3073" r:id="rId4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6"/>
  <sheetViews>
    <sheetView topLeftCell="I9" workbookViewId="0">
      <selection activeCell="O29" sqref="O29"/>
    </sheetView>
  </sheetViews>
  <sheetFormatPr defaultRowHeight="14.4" x14ac:dyDescent="0.3"/>
  <cols>
    <col min="3" max="3" width="42" customWidth="1"/>
  </cols>
  <sheetData>
    <row r="1" spans="1:24" ht="17.399999999999999" x14ac:dyDescent="0.3">
      <c r="A1" s="75" t="s">
        <v>20</v>
      </c>
      <c r="J1" s="75" t="s">
        <v>20</v>
      </c>
      <c r="R1" s="75" t="s">
        <v>29</v>
      </c>
    </row>
    <row r="2" spans="1:24" x14ac:dyDescent="0.3">
      <c r="R2" s="85" t="s">
        <v>87</v>
      </c>
    </row>
    <row r="3" spans="1:24" x14ac:dyDescent="0.3">
      <c r="A3" s="76" t="s">
        <v>39</v>
      </c>
      <c r="J3" s="76" t="s">
        <v>39</v>
      </c>
      <c r="R3" s="85" t="s">
        <v>88</v>
      </c>
    </row>
    <row r="4" spans="1:24" x14ac:dyDescent="0.3">
      <c r="R4" s="85" t="s">
        <v>30</v>
      </c>
    </row>
    <row r="5" spans="1:24" x14ac:dyDescent="0.3">
      <c r="A5" s="77" t="s">
        <v>40</v>
      </c>
      <c r="J5" s="77" t="s">
        <v>86</v>
      </c>
    </row>
    <row r="6" spans="1:24" x14ac:dyDescent="0.3">
      <c r="A6" s="77" t="s">
        <v>21</v>
      </c>
      <c r="J6" s="77" t="s">
        <v>37</v>
      </c>
    </row>
    <row r="7" spans="1:24" x14ac:dyDescent="0.3">
      <c r="A7" s="77" t="s">
        <v>41</v>
      </c>
      <c r="J7" s="77" t="s">
        <v>41</v>
      </c>
    </row>
    <row r="8" spans="1:24" x14ac:dyDescent="0.3">
      <c r="A8" s="78"/>
      <c r="J8" s="78"/>
      <c r="R8" s="85" t="s">
        <v>89</v>
      </c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80"/>
      <c r="B10" s="80"/>
      <c r="C10" s="80" t="s">
        <v>28</v>
      </c>
      <c r="D10" s="80"/>
      <c r="E10" s="80"/>
      <c r="F10" s="80">
        <v>0</v>
      </c>
      <c r="J10" s="80"/>
      <c r="K10" s="80"/>
      <c r="L10" s="80" t="s">
        <v>28</v>
      </c>
      <c r="M10" s="80"/>
      <c r="N10" s="80"/>
      <c r="O10" s="80">
        <v>0</v>
      </c>
      <c r="R10" s="80">
        <v>5817</v>
      </c>
      <c r="S10" s="80" t="s">
        <v>90</v>
      </c>
      <c r="T10" s="80">
        <v>50</v>
      </c>
      <c r="U10" s="80">
        <v>50</v>
      </c>
      <c r="V10" s="80">
        <v>100</v>
      </c>
      <c r="W10" s="80">
        <v>50</v>
      </c>
      <c r="X10" s="80">
        <v>0</v>
      </c>
    </row>
    <row r="11" spans="1:24" ht="15" thickBot="1" x14ac:dyDescent="0.35">
      <c r="A11" s="80">
        <v>1224933</v>
      </c>
      <c r="B11" s="81">
        <v>45444</v>
      </c>
      <c r="C11" s="80" t="s">
        <v>42</v>
      </c>
      <c r="D11" s="80"/>
      <c r="E11" s="80">
        <v>400</v>
      </c>
      <c r="F11" s="80">
        <v>400</v>
      </c>
      <c r="J11" s="80"/>
      <c r="K11" s="80"/>
      <c r="L11" s="80"/>
      <c r="M11" s="84">
        <v>0</v>
      </c>
      <c r="N11" s="84">
        <v>0</v>
      </c>
      <c r="O11" s="84">
        <v>0</v>
      </c>
      <c r="R11" s="80">
        <v>5819</v>
      </c>
      <c r="S11" s="80" t="s">
        <v>91</v>
      </c>
      <c r="T11" s="80">
        <v>50</v>
      </c>
      <c r="U11" s="80">
        <v>50</v>
      </c>
      <c r="V11" s="80">
        <v>200</v>
      </c>
      <c r="W11" s="80">
        <v>100</v>
      </c>
      <c r="X11" s="80">
        <v>-50</v>
      </c>
    </row>
    <row r="12" spans="1:24" ht="15" thickBot="1" x14ac:dyDescent="0.35">
      <c r="A12" s="80">
        <v>1203534</v>
      </c>
      <c r="B12" s="81">
        <v>45454</v>
      </c>
      <c r="C12" s="80" t="s">
        <v>43</v>
      </c>
      <c r="D12" s="80"/>
      <c r="E12" s="80">
        <v>50</v>
      </c>
      <c r="F12" s="80">
        <v>450</v>
      </c>
      <c r="R12" s="80">
        <v>5820</v>
      </c>
      <c r="S12" s="80" t="s">
        <v>92</v>
      </c>
      <c r="T12" s="80">
        <v>50</v>
      </c>
      <c r="U12" s="80">
        <v>50</v>
      </c>
      <c r="V12" s="80">
        <v>300</v>
      </c>
      <c r="W12" s="80">
        <v>50</v>
      </c>
      <c r="X12" s="80">
        <v>0</v>
      </c>
    </row>
    <row r="13" spans="1:24" ht="15" thickBot="1" x14ac:dyDescent="0.35">
      <c r="A13" s="80">
        <v>1203537</v>
      </c>
      <c r="B13" s="81">
        <v>45454</v>
      </c>
      <c r="C13" s="80" t="s">
        <v>44</v>
      </c>
      <c r="D13" s="80">
        <v>7.51</v>
      </c>
      <c r="E13" s="80"/>
      <c r="F13" s="80">
        <v>442.49</v>
      </c>
      <c r="H13">
        <f>E12*0.1501</f>
        <v>7.5050000000000008</v>
      </c>
      <c r="R13" s="80">
        <v>5821</v>
      </c>
      <c r="S13" s="80" t="s">
        <v>93</v>
      </c>
      <c r="T13" s="80">
        <v>50</v>
      </c>
      <c r="U13" s="80">
        <v>150</v>
      </c>
      <c r="V13" s="80">
        <v>500</v>
      </c>
      <c r="W13" s="80">
        <v>150</v>
      </c>
      <c r="X13" s="80">
        <v>0</v>
      </c>
    </row>
    <row r="14" spans="1:24" ht="15" thickBot="1" x14ac:dyDescent="0.35">
      <c r="A14" s="80">
        <v>1203541</v>
      </c>
      <c r="B14" s="81">
        <v>45454</v>
      </c>
      <c r="C14" s="80" t="s">
        <v>45</v>
      </c>
      <c r="D14" s="80"/>
      <c r="E14" s="80">
        <v>50</v>
      </c>
      <c r="F14" s="80">
        <v>492.49</v>
      </c>
      <c r="R14" s="80">
        <v>5822</v>
      </c>
      <c r="S14" s="80" t="s">
        <v>94</v>
      </c>
      <c r="T14" s="80">
        <v>50</v>
      </c>
      <c r="U14" s="80">
        <v>50</v>
      </c>
      <c r="V14" s="80">
        <v>600</v>
      </c>
      <c r="W14" s="80">
        <v>50</v>
      </c>
      <c r="X14" s="80">
        <v>0</v>
      </c>
    </row>
    <row r="15" spans="1:24" ht="15" thickBot="1" x14ac:dyDescent="0.35">
      <c r="A15" s="80">
        <v>1203544</v>
      </c>
      <c r="B15" s="81">
        <v>45454</v>
      </c>
      <c r="C15" s="80" t="s">
        <v>46</v>
      </c>
      <c r="D15" s="80">
        <v>7.51</v>
      </c>
      <c r="E15" s="80"/>
      <c r="F15" s="80">
        <v>484.98</v>
      </c>
      <c r="R15" s="80">
        <v>5823</v>
      </c>
      <c r="S15" s="80" t="s">
        <v>95</v>
      </c>
      <c r="T15" s="80">
        <v>50</v>
      </c>
      <c r="U15" s="80">
        <v>50</v>
      </c>
      <c r="V15" s="80">
        <v>700</v>
      </c>
      <c r="W15" s="80">
        <v>100</v>
      </c>
      <c r="X15" s="80">
        <v>-50</v>
      </c>
    </row>
    <row r="16" spans="1:24" ht="15" thickBot="1" x14ac:dyDescent="0.35">
      <c r="A16" s="80">
        <v>1203548</v>
      </c>
      <c r="B16" s="81">
        <v>45454</v>
      </c>
      <c r="C16" s="80" t="s">
        <v>47</v>
      </c>
      <c r="D16" s="80"/>
      <c r="E16" s="80">
        <v>50</v>
      </c>
      <c r="F16" s="80">
        <v>534.98</v>
      </c>
      <c r="R16" s="80">
        <v>5824</v>
      </c>
      <c r="S16" s="80" t="s">
        <v>96</v>
      </c>
      <c r="T16" s="80">
        <v>50</v>
      </c>
      <c r="U16" s="80">
        <v>50</v>
      </c>
      <c r="V16" s="80">
        <v>800</v>
      </c>
      <c r="W16" s="80">
        <v>100</v>
      </c>
      <c r="X16" s="80">
        <v>-50</v>
      </c>
    </row>
    <row r="17" spans="1:24" ht="15" thickBot="1" x14ac:dyDescent="0.35">
      <c r="A17" s="80">
        <v>1203551</v>
      </c>
      <c r="B17" s="81">
        <v>45454</v>
      </c>
      <c r="C17" s="80" t="s">
        <v>48</v>
      </c>
      <c r="D17" s="80">
        <v>7.51</v>
      </c>
      <c r="E17" s="80"/>
      <c r="F17" s="80">
        <v>527.47</v>
      </c>
      <c r="R17" s="80">
        <v>5825</v>
      </c>
      <c r="S17" s="80" t="s">
        <v>97</v>
      </c>
      <c r="T17" s="80">
        <v>50</v>
      </c>
      <c r="U17" s="80">
        <v>50</v>
      </c>
      <c r="V17" s="80">
        <v>900</v>
      </c>
      <c r="W17" s="80">
        <v>100</v>
      </c>
      <c r="X17" s="80">
        <v>-50</v>
      </c>
    </row>
    <row r="18" spans="1:24" ht="15" thickBot="1" x14ac:dyDescent="0.35">
      <c r="A18" s="80">
        <v>1203557</v>
      </c>
      <c r="B18" s="81">
        <v>45454</v>
      </c>
      <c r="C18" s="80" t="s">
        <v>49</v>
      </c>
      <c r="D18" s="80"/>
      <c r="E18" s="80">
        <v>100</v>
      </c>
      <c r="F18" s="80">
        <v>627.47</v>
      </c>
      <c r="R18" s="80">
        <v>5826</v>
      </c>
      <c r="S18" s="80" t="s">
        <v>98</v>
      </c>
      <c r="T18" s="80">
        <v>50</v>
      </c>
      <c r="U18" s="80">
        <v>50</v>
      </c>
      <c r="V18" s="80">
        <v>1000</v>
      </c>
      <c r="W18" s="80">
        <v>50</v>
      </c>
      <c r="X18" s="80">
        <v>0</v>
      </c>
    </row>
    <row r="19" spans="1:24" ht="15" thickBot="1" x14ac:dyDescent="0.35">
      <c r="A19" s="80">
        <v>1203560</v>
      </c>
      <c r="B19" s="81">
        <v>45454</v>
      </c>
      <c r="C19" s="80" t="s">
        <v>50</v>
      </c>
      <c r="D19" s="80">
        <v>15.01</v>
      </c>
      <c r="E19" s="80"/>
      <c r="F19" s="80">
        <v>612.46</v>
      </c>
      <c r="R19" s="80">
        <v>5827</v>
      </c>
      <c r="S19" s="80" t="s">
        <v>99</v>
      </c>
      <c r="T19" s="80">
        <v>50</v>
      </c>
      <c r="U19" s="80">
        <v>50</v>
      </c>
      <c r="V19" s="80">
        <v>1100</v>
      </c>
      <c r="W19" s="80">
        <v>100</v>
      </c>
      <c r="X19" s="80">
        <v>-50</v>
      </c>
    </row>
    <row r="20" spans="1:24" ht="15" thickBot="1" x14ac:dyDescent="0.35">
      <c r="A20" s="80">
        <v>1203564</v>
      </c>
      <c r="B20" s="81">
        <v>45454</v>
      </c>
      <c r="C20" s="80" t="s">
        <v>51</v>
      </c>
      <c r="D20" s="80"/>
      <c r="E20" s="80">
        <v>50</v>
      </c>
      <c r="F20" s="80">
        <v>662.46</v>
      </c>
      <c r="R20" s="80">
        <v>5828</v>
      </c>
      <c r="S20" s="80" t="s">
        <v>100</v>
      </c>
      <c r="T20" s="80">
        <v>50</v>
      </c>
      <c r="U20" s="80">
        <v>50</v>
      </c>
      <c r="V20" s="80">
        <v>1200</v>
      </c>
      <c r="W20" s="80">
        <v>100</v>
      </c>
      <c r="X20" s="80">
        <v>-50</v>
      </c>
    </row>
    <row r="21" spans="1:24" ht="15" thickBot="1" x14ac:dyDescent="0.35">
      <c r="A21" s="80">
        <v>1203567</v>
      </c>
      <c r="B21" s="81">
        <v>45454</v>
      </c>
      <c r="C21" s="80" t="s">
        <v>52</v>
      </c>
      <c r="D21" s="80">
        <v>7.51</v>
      </c>
      <c r="E21" s="80"/>
      <c r="F21" s="80">
        <v>654.95000000000005</v>
      </c>
      <c r="R21" s="82">
        <v>5829</v>
      </c>
      <c r="S21" s="82" t="s">
        <v>101</v>
      </c>
      <c r="T21" s="82">
        <v>50</v>
      </c>
      <c r="U21" s="82">
        <v>50</v>
      </c>
      <c r="V21" s="82">
        <v>1300</v>
      </c>
      <c r="W21" s="82">
        <v>100</v>
      </c>
      <c r="X21" s="82">
        <v>-50</v>
      </c>
    </row>
    <row r="22" spans="1:24" ht="15" thickBot="1" x14ac:dyDescent="0.35">
      <c r="A22" s="80">
        <v>1203573</v>
      </c>
      <c r="B22" s="81">
        <v>45454</v>
      </c>
      <c r="C22" s="80" t="s">
        <v>53</v>
      </c>
      <c r="D22" s="80"/>
      <c r="E22" s="80">
        <v>50</v>
      </c>
      <c r="F22" s="80">
        <v>704.95</v>
      </c>
      <c r="R22" s="80">
        <v>5830</v>
      </c>
      <c r="S22" s="80" t="s">
        <v>102</v>
      </c>
      <c r="T22" s="80">
        <v>50</v>
      </c>
      <c r="U22" s="80">
        <v>50</v>
      </c>
      <c r="V22" s="80">
        <v>1400</v>
      </c>
      <c r="W22" s="80">
        <v>200</v>
      </c>
      <c r="X22" s="80">
        <v>-150</v>
      </c>
    </row>
    <row r="23" spans="1:24" ht="15" thickBot="1" x14ac:dyDescent="0.35">
      <c r="A23" s="80">
        <v>1203576</v>
      </c>
      <c r="B23" s="81">
        <v>45454</v>
      </c>
      <c r="C23" s="80" t="s">
        <v>54</v>
      </c>
      <c r="D23" s="80">
        <v>7.51</v>
      </c>
      <c r="E23" s="80"/>
      <c r="F23" s="80">
        <v>697.44</v>
      </c>
      <c r="R23" s="80">
        <v>5831</v>
      </c>
      <c r="S23" s="80" t="s">
        <v>103</v>
      </c>
      <c r="T23" s="80">
        <v>50</v>
      </c>
      <c r="U23" s="80">
        <v>50</v>
      </c>
      <c r="V23" s="80">
        <v>1500</v>
      </c>
      <c r="W23" s="80">
        <v>100</v>
      </c>
      <c r="X23" s="80">
        <v>-50</v>
      </c>
    </row>
    <row r="24" spans="1:24" ht="15" thickBot="1" x14ac:dyDescent="0.35">
      <c r="A24" s="80">
        <v>1203580</v>
      </c>
      <c r="B24" s="81">
        <v>45454</v>
      </c>
      <c r="C24" s="80" t="s">
        <v>55</v>
      </c>
      <c r="D24" s="80"/>
      <c r="E24" s="101">
        <v>100</v>
      </c>
      <c r="F24" s="80">
        <v>797.44</v>
      </c>
      <c r="R24" s="80">
        <v>5832</v>
      </c>
      <c r="S24" s="80" t="s">
        <v>104</v>
      </c>
      <c r="T24" s="80">
        <v>50</v>
      </c>
      <c r="U24" s="80">
        <v>50</v>
      </c>
      <c r="V24" s="80">
        <v>1600</v>
      </c>
      <c r="W24" s="80">
        <v>100</v>
      </c>
      <c r="X24" s="80">
        <v>-50</v>
      </c>
    </row>
    <row r="25" spans="1:24" ht="15" thickBot="1" x14ac:dyDescent="0.35">
      <c r="A25" s="80">
        <v>1203583</v>
      </c>
      <c r="B25" s="81">
        <v>45454</v>
      </c>
      <c r="C25" s="80" t="s">
        <v>56</v>
      </c>
      <c r="D25" s="101">
        <v>15.01</v>
      </c>
      <c r="E25" s="80"/>
      <c r="F25" s="80">
        <v>782.43</v>
      </c>
      <c r="R25" s="80">
        <v>5833</v>
      </c>
      <c r="S25" s="80" t="s">
        <v>105</v>
      </c>
      <c r="T25" s="80">
        <v>50</v>
      </c>
      <c r="U25" s="80">
        <v>50</v>
      </c>
      <c r="V25" s="80">
        <v>1700</v>
      </c>
      <c r="W25" s="80">
        <v>100</v>
      </c>
      <c r="X25" s="80">
        <v>-50</v>
      </c>
    </row>
    <row r="26" spans="1:24" ht="15" thickBot="1" x14ac:dyDescent="0.35">
      <c r="A26" s="80">
        <v>1203587</v>
      </c>
      <c r="B26" s="81">
        <v>45454</v>
      </c>
      <c r="C26" s="80" t="s">
        <v>57</v>
      </c>
      <c r="D26" s="80"/>
      <c r="E26" s="80">
        <v>50</v>
      </c>
      <c r="F26" s="80">
        <v>832.43</v>
      </c>
      <c r="R26" s="80">
        <v>5834</v>
      </c>
      <c r="S26" s="80" t="s">
        <v>106</v>
      </c>
      <c r="T26" s="80">
        <v>50</v>
      </c>
      <c r="U26" s="80">
        <v>50</v>
      </c>
      <c r="V26" s="80">
        <v>1800</v>
      </c>
      <c r="W26" s="80">
        <v>100</v>
      </c>
      <c r="X26" s="80">
        <v>-50</v>
      </c>
    </row>
    <row r="27" spans="1:24" ht="15" thickBot="1" x14ac:dyDescent="0.35">
      <c r="A27" s="80">
        <v>1203590</v>
      </c>
      <c r="B27" s="81">
        <v>45454</v>
      </c>
      <c r="C27" s="80" t="s">
        <v>58</v>
      </c>
      <c r="D27" s="80">
        <v>7.51</v>
      </c>
      <c r="E27" s="80"/>
      <c r="F27" s="80">
        <v>824.92</v>
      </c>
      <c r="R27" s="80"/>
      <c r="S27" s="80"/>
      <c r="T27" s="87">
        <v>850</v>
      </c>
      <c r="U27" s="87">
        <v>950</v>
      </c>
      <c r="V27" s="87">
        <v>1800</v>
      </c>
      <c r="W27" s="87">
        <v>1650</v>
      </c>
      <c r="X27" s="87">
        <v>-700</v>
      </c>
    </row>
    <row r="28" spans="1:24" ht="15" thickBot="1" x14ac:dyDescent="0.35">
      <c r="A28" s="80">
        <v>1203594</v>
      </c>
      <c r="B28" s="81">
        <v>45454</v>
      </c>
      <c r="C28" s="80" t="s">
        <v>59</v>
      </c>
      <c r="D28" s="80"/>
      <c r="E28" s="80">
        <v>50</v>
      </c>
      <c r="F28" s="80">
        <v>874.92</v>
      </c>
      <c r="X28">
        <f>X11+X15+X16+X17+X19+X20+X21+X22+X23+X24+X25+X26</f>
        <v>-700</v>
      </c>
    </row>
    <row r="29" spans="1:24" ht="15" thickBot="1" x14ac:dyDescent="0.35">
      <c r="A29" s="80">
        <v>1203597</v>
      </c>
      <c r="B29" s="81">
        <v>45454</v>
      </c>
      <c r="C29" s="80" t="s">
        <v>60</v>
      </c>
      <c r="D29" s="80">
        <v>7.51</v>
      </c>
      <c r="E29" s="80"/>
      <c r="F29" s="80">
        <v>867.41</v>
      </c>
      <c r="X29">
        <f>X28*-1</f>
        <v>700</v>
      </c>
    </row>
    <row r="30" spans="1:24" ht="15" thickBot="1" x14ac:dyDescent="0.35">
      <c r="A30" s="80">
        <v>1203601</v>
      </c>
      <c r="B30" s="81">
        <v>45454</v>
      </c>
      <c r="C30" s="80" t="s">
        <v>61</v>
      </c>
      <c r="D30" s="80"/>
      <c r="E30" s="80">
        <v>50</v>
      </c>
      <c r="F30" s="80">
        <v>917.41</v>
      </c>
      <c r="X30" s="107">
        <v>0</v>
      </c>
    </row>
    <row r="31" spans="1:24" ht="15" thickBot="1" x14ac:dyDescent="0.35">
      <c r="A31" s="80">
        <v>1203604</v>
      </c>
      <c r="B31" s="81">
        <v>45454</v>
      </c>
      <c r="C31" s="80" t="s">
        <v>62</v>
      </c>
      <c r="D31" s="80">
        <v>7.51</v>
      </c>
      <c r="E31" s="80"/>
      <c r="F31" s="80">
        <v>909.9</v>
      </c>
    </row>
    <row r="32" spans="1:24" ht="15" thickBot="1" x14ac:dyDescent="0.35">
      <c r="A32" s="80">
        <v>1203608</v>
      </c>
      <c r="B32" s="81">
        <v>45454</v>
      </c>
      <c r="C32" s="80" t="s">
        <v>63</v>
      </c>
      <c r="D32" s="80"/>
      <c r="E32" s="80">
        <v>50</v>
      </c>
      <c r="F32" s="80">
        <v>959.9</v>
      </c>
    </row>
    <row r="33" spans="1:6" ht="15" thickBot="1" x14ac:dyDescent="0.35">
      <c r="A33" s="80">
        <v>1203611</v>
      </c>
      <c r="B33" s="81">
        <v>45454</v>
      </c>
      <c r="C33" s="80" t="s">
        <v>64</v>
      </c>
      <c r="D33" s="80">
        <v>7.51</v>
      </c>
      <c r="E33" s="80"/>
      <c r="F33" s="80">
        <v>952.39</v>
      </c>
    </row>
    <row r="34" spans="1:6" ht="15" thickBot="1" x14ac:dyDescent="0.35">
      <c r="A34" s="80">
        <v>1203615</v>
      </c>
      <c r="B34" s="81">
        <v>45454</v>
      </c>
      <c r="C34" s="80" t="s">
        <v>65</v>
      </c>
      <c r="D34" s="80"/>
      <c r="E34" s="80">
        <v>200</v>
      </c>
      <c r="F34" s="80">
        <v>1152.3900000000001</v>
      </c>
    </row>
    <row r="35" spans="1:6" ht="15" thickBot="1" x14ac:dyDescent="0.35">
      <c r="A35" s="80">
        <v>1203618</v>
      </c>
      <c r="B35" s="81">
        <v>45454</v>
      </c>
      <c r="C35" s="80" t="s">
        <v>66</v>
      </c>
      <c r="D35" s="80">
        <v>30.02</v>
      </c>
      <c r="E35" s="80"/>
      <c r="F35" s="80">
        <v>1122.3699999999999</v>
      </c>
    </row>
    <row r="36" spans="1:6" ht="15" thickBot="1" x14ac:dyDescent="0.35">
      <c r="A36" s="80">
        <v>1203624</v>
      </c>
      <c r="B36" s="81">
        <v>45454</v>
      </c>
      <c r="C36" s="80" t="s">
        <v>67</v>
      </c>
      <c r="D36" s="80"/>
      <c r="E36" s="80">
        <v>50</v>
      </c>
      <c r="F36" s="80">
        <v>1172.3699999999999</v>
      </c>
    </row>
    <row r="37" spans="1:6" ht="15" thickBot="1" x14ac:dyDescent="0.35">
      <c r="A37" s="80">
        <v>1203627</v>
      </c>
      <c r="B37" s="81">
        <v>45454</v>
      </c>
      <c r="C37" s="80" t="s">
        <v>68</v>
      </c>
      <c r="D37" s="80">
        <v>7.51</v>
      </c>
      <c r="E37" s="80"/>
      <c r="F37" s="80">
        <v>1164.8599999999999</v>
      </c>
    </row>
    <row r="38" spans="1:6" ht="15" thickBot="1" x14ac:dyDescent="0.35">
      <c r="A38" s="80">
        <v>1203631</v>
      </c>
      <c r="B38" s="81">
        <v>45454</v>
      </c>
      <c r="C38" s="80" t="s">
        <v>69</v>
      </c>
      <c r="D38" s="80"/>
      <c r="E38" s="80">
        <v>50</v>
      </c>
      <c r="F38" s="80">
        <v>1214.8599999999999</v>
      </c>
    </row>
    <row r="39" spans="1:6" ht="15" thickBot="1" x14ac:dyDescent="0.35">
      <c r="A39" s="80">
        <v>1203634</v>
      </c>
      <c r="B39" s="81">
        <v>45454</v>
      </c>
      <c r="C39" s="80" t="s">
        <v>70</v>
      </c>
      <c r="D39" s="80">
        <v>7.51</v>
      </c>
      <c r="E39" s="80"/>
      <c r="F39" s="80">
        <v>1207.3499999999999</v>
      </c>
    </row>
    <row r="40" spans="1:6" ht="15" thickBot="1" x14ac:dyDescent="0.35">
      <c r="A40" s="80">
        <v>1203638</v>
      </c>
      <c r="B40" s="81">
        <v>45454</v>
      </c>
      <c r="C40" s="80" t="s">
        <v>71</v>
      </c>
      <c r="D40" s="80"/>
      <c r="E40" s="80">
        <v>50</v>
      </c>
      <c r="F40" s="80">
        <v>1257.3499999999999</v>
      </c>
    </row>
    <row r="41" spans="1:6" ht="15" thickBot="1" x14ac:dyDescent="0.35">
      <c r="A41" s="80">
        <v>1203641</v>
      </c>
      <c r="B41" s="81">
        <v>45454</v>
      </c>
      <c r="C41" s="80" t="s">
        <v>72</v>
      </c>
      <c r="D41" s="80">
        <v>7.51</v>
      </c>
      <c r="E41" s="80"/>
      <c r="F41" s="80">
        <v>1249.8399999999999</v>
      </c>
    </row>
    <row r="42" spans="1:6" ht="15" thickBot="1" x14ac:dyDescent="0.35">
      <c r="A42" s="80">
        <v>1203645</v>
      </c>
      <c r="B42" s="81">
        <v>45454</v>
      </c>
      <c r="C42" s="80" t="s">
        <v>73</v>
      </c>
      <c r="D42" s="80"/>
      <c r="E42" s="80">
        <v>50</v>
      </c>
      <c r="F42" s="80">
        <v>1299.8399999999999</v>
      </c>
    </row>
    <row r="43" spans="1:6" ht="15" thickBot="1" x14ac:dyDescent="0.35">
      <c r="A43" s="80">
        <v>1203648</v>
      </c>
      <c r="B43" s="81">
        <v>45454</v>
      </c>
      <c r="C43" s="80" t="s">
        <v>74</v>
      </c>
      <c r="D43" s="80">
        <v>7.51</v>
      </c>
      <c r="E43" s="80"/>
      <c r="F43" s="80">
        <v>1292.33</v>
      </c>
    </row>
    <row r="44" spans="1:6" ht="15" thickBot="1" x14ac:dyDescent="0.35">
      <c r="A44" s="80">
        <v>1205294</v>
      </c>
      <c r="B44" s="81">
        <v>45454</v>
      </c>
      <c r="C44" s="80" t="s">
        <v>75</v>
      </c>
      <c r="D44" s="80"/>
      <c r="E44" s="80">
        <v>50</v>
      </c>
      <c r="F44" s="80">
        <v>1342.33</v>
      </c>
    </row>
    <row r="45" spans="1:6" ht="15" thickBot="1" x14ac:dyDescent="0.35">
      <c r="A45" s="80">
        <v>1205297</v>
      </c>
      <c r="B45" s="81">
        <v>45454</v>
      </c>
      <c r="C45" s="80" t="s">
        <v>76</v>
      </c>
      <c r="D45" s="80">
        <v>7.51</v>
      </c>
      <c r="E45" s="80"/>
      <c r="F45" s="80">
        <v>1334.82</v>
      </c>
    </row>
    <row r="46" spans="1:6" ht="15" thickBot="1" x14ac:dyDescent="0.35">
      <c r="A46" s="80">
        <v>1205300</v>
      </c>
      <c r="B46" s="81">
        <v>45454</v>
      </c>
      <c r="C46" s="80" t="s">
        <v>77</v>
      </c>
      <c r="D46" s="101">
        <v>100</v>
      </c>
      <c r="E46" s="80"/>
      <c r="F46" s="80">
        <v>1234.82</v>
      </c>
    </row>
    <row r="47" spans="1:6" ht="15" thickBot="1" x14ac:dyDescent="0.35">
      <c r="A47" s="80">
        <v>1205304</v>
      </c>
      <c r="B47" s="81">
        <v>45454</v>
      </c>
      <c r="C47" s="80" t="s">
        <v>78</v>
      </c>
      <c r="D47" s="80"/>
      <c r="E47" s="101">
        <v>15.01</v>
      </c>
      <c r="F47" s="80">
        <v>1249.83</v>
      </c>
    </row>
    <row r="48" spans="1:6" ht="15" thickBot="1" x14ac:dyDescent="0.35">
      <c r="A48" s="80">
        <v>1204760</v>
      </c>
      <c r="B48" s="81">
        <v>45455</v>
      </c>
      <c r="C48" s="80" t="s">
        <v>79</v>
      </c>
      <c r="D48" s="80">
        <v>533</v>
      </c>
      <c r="E48" s="80"/>
      <c r="F48" s="80">
        <v>716.83</v>
      </c>
    </row>
    <row r="49" spans="1:6" ht="15" thickBot="1" x14ac:dyDescent="0.35">
      <c r="A49" s="80">
        <v>1204762</v>
      </c>
      <c r="B49" s="81">
        <v>45455</v>
      </c>
      <c r="C49" s="80" t="s">
        <v>80</v>
      </c>
      <c r="D49" s="80">
        <v>50</v>
      </c>
      <c r="E49" s="80"/>
      <c r="F49" s="80">
        <v>666.83</v>
      </c>
    </row>
    <row r="50" spans="1:6" ht="15" thickBot="1" x14ac:dyDescent="0.35">
      <c r="A50" s="80">
        <v>1204764</v>
      </c>
      <c r="B50" s="81">
        <v>45455</v>
      </c>
      <c r="C50" s="80" t="s">
        <v>81</v>
      </c>
      <c r="D50" s="80">
        <v>40</v>
      </c>
      <c r="E50" s="80"/>
      <c r="F50" s="80">
        <v>626.83000000000004</v>
      </c>
    </row>
    <row r="51" spans="1:6" ht="15" thickBot="1" x14ac:dyDescent="0.35">
      <c r="A51" s="80">
        <v>1204766</v>
      </c>
      <c r="B51" s="81">
        <v>45455</v>
      </c>
      <c r="C51" s="80" t="s">
        <v>82</v>
      </c>
      <c r="D51" s="80">
        <v>24</v>
      </c>
      <c r="E51" s="80"/>
      <c r="F51" s="80">
        <v>602.83000000000004</v>
      </c>
    </row>
    <row r="52" spans="1:6" ht="15" thickBot="1" x14ac:dyDescent="0.35">
      <c r="A52" s="80">
        <v>1204768</v>
      </c>
      <c r="B52" s="81">
        <v>45455</v>
      </c>
      <c r="C52" s="80" t="s">
        <v>83</v>
      </c>
      <c r="D52" s="80">
        <v>270</v>
      </c>
      <c r="E52" s="80"/>
      <c r="F52" s="80">
        <v>332.83</v>
      </c>
    </row>
    <row r="53" spans="1:6" ht="15" thickBot="1" x14ac:dyDescent="0.35">
      <c r="A53" s="80">
        <v>1210125</v>
      </c>
      <c r="B53" s="81">
        <v>45471</v>
      </c>
      <c r="C53" s="80" t="s">
        <v>61</v>
      </c>
      <c r="D53" s="80"/>
      <c r="E53" s="80">
        <v>50</v>
      </c>
      <c r="F53" s="80">
        <v>382.83</v>
      </c>
    </row>
    <row r="54" spans="1:6" ht="15" thickBot="1" x14ac:dyDescent="0.35">
      <c r="A54" s="80">
        <v>1210128</v>
      </c>
      <c r="B54" s="81">
        <v>45471</v>
      </c>
      <c r="C54" s="80" t="s">
        <v>62</v>
      </c>
      <c r="D54" s="80">
        <v>7.51</v>
      </c>
      <c r="E54" s="80"/>
      <c r="F54" s="80">
        <v>375.32</v>
      </c>
    </row>
    <row r="55" spans="1:6" ht="15" thickBot="1" x14ac:dyDescent="0.35">
      <c r="A55" s="80">
        <v>1210132</v>
      </c>
      <c r="B55" s="81">
        <v>45471</v>
      </c>
      <c r="C55" s="80" t="s">
        <v>59</v>
      </c>
      <c r="D55" s="80"/>
      <c r="E55" s="80">
        <v>50</v>
      </c>
      <c r="F55" s="80">
        <v>425.32</v>
      </c>
    </row>
    <row r="56" spans="1:6" ht="15" thickBot="1" x14ac:dyDescent="0.35">
      <c r="A56" s="80">
        <v>1210135</v>
      </c>
      <c r="B56" s="81">
        <v>45471</v>
      </c>
      <c r="C56" s="80" t="s">
        <v>60</v>
      </c>
      <c r="D56" s="80">
        <v>7.51</v>
      </c>
      <c r="E56" s="80"/>
      <c r="F56" s="80">
        <v>417.81</v>
      </c>
    </row>
    <row r="57" spans="1:6" ht="15" thickBot="1" x14ac:dyDescent="0.35">
      <c r="A57" s="80">
        <v>1210139</v>
      </c>
      <c r="B57" s="81">
        <v>45471</v>
      </c>
      <c r="C57" s="80" t="s">
        <v>73</v>
      </c>
      <c r="D57" s="80"/>
      <c r="E57" s="80">
        <v>50</v>
      </c>
      <c r="F57" s="80">
        <v>467.81</v>
      </c>
    </row>
    <row r="58" spans="1:6" ht="15" thickBot="1" x14ac:dyDescent="0.35">
      <c r="A58" s="80">
        <v>1210142</v>
      </c>
      <c r="B58" s="81">
        <v>45471</v>
      </c>
      <c r="C58" s="80" t="s">
        <v>74</v>
      </c>
      <c r="D58" s="80">
        <v>7.51</v>
      </c>
      <c r="E58" s="80"/>
      <c r="F58" s="80">
        <v>460.3</v>
      </c>
    </row>
    <row r="59" spans="1:6" ht="15" thickBot="1" x14ac:dyDescent="0.35">
      <c r="A59" s="80">
        <v>1210146</v>
      </c>
      <c r="B59" s="81">
        <v>45471</v>
      </c>
      <c r="C59" s="80" t="s">
        <v>63</v>
      </c>
      <c r="D59" s="80"/>
      <c r="E59" s="80">
        <v>50</v>
      </c>
      <c r="F59" s="80">
        <v>510.3</v>
      </c>
    </row>
    <row r="60" spans="1:6" ht="15" thickBot="1" x14ac:dyDescent="0.35">
      <c r="A60" s="80">
        <v>1210149</v>
      </c>
      <c r="B60" s="81">
        <v>45471</v>
      </c>
      <c r="C60" s="80" t="s">
        <v>64</v>
      </c>
      <c r="D60" s="80">
        <v>7.51</v>
      </c>
      <c r="E60" s="80"/>
      <c r="F60" s="80">
        <v>502.79</v>
      </c>
    </row>
    <row r="61" spans="1:6" ht="15" thickBot="1" x14ac:dyDescent="0.35">
      <c r="A61" s="80">
        <v>1210153</v>
      </c>
      <c r="B61" s="81">
        <v>45471</v>
      </c>
      <c r="C61" s="80" t="s">
        <v>69</v>
      </c>
      <c r="D61" s="80"/>
      <c r="E61" s="80">
        <v>50</v>
      </c>
      <c r="F61" s="80">
        <v>552.79</v>
      </c>
    </row>
    <row r="62" spans="1:6" ht="15" thickBot="1" x14ac:dyDescent="0.35">
      <c r="A62" s="80">
        <v>1210156</v>
      </c>
      <c r="B62" s="81">
        <v>45471</v>
      </c>
      <c r="C62" s="80" t="s">
        <v>70</v>
      </c>
      <c r="D62" s="80">
        <v>7.51</v>
      </c>
      <c r="E62" s="80"/>
      <c r="F62" s="80">
        <v>545.28</v>
      </c>
    </row>
    <row r="63" spans="1:6" ht="15" thickBot="1" x14ac:dyDescent="0.35">
      <c r="A63" s="80">
        <v>1210160</v>
      </c>
      <c r="B63" s="81">
        <v>45471</v>
      </c>
      <c r="C63" s="80" t="s">
        <v>67</v>
      </c>
      <c r="D63" s="80"/>
      <c r="E63" s="80">
        <v>50</v>
      </c>
      <c r="F63" s="80">
        <v>595.28</v>
      </c>
    </row>
    <row r="64" spans="1:6" ht="15" thickBot="1" x14ac:dyDescent="0.35">
      <c r="A64" s="80">
        <v>1210163</v>
      </c>
      <c r="B64" s="81">
        <v>45471</v>
      </c>
      <c r="C64" s="80" t="s">
        <v>68</v>
      </c>
      <c r="D64" s="80">
        <v>7.51</v>
      </c>
      <c r="E64" s="80"/>
      <c r="F64" s="80">
        <v>587.77</v>
      </c>
    </row>
    <row r="65" spans="1:6" ht="15" thickBot="1" x14ac:dyDescent="0.35">
      <c r="A65" s="80">
        <v>1210167</v>
      </c>
      <c r="B65" s="81">
        <v>45471</v>
      </c>
      <c r="C65" s="80" t="s">
        <v>53</v>
      </c>
      <c r="D65" s="80"/>
      <c r="E65" s="80">
        <v>50</v>
      </c>
      <c r="F65" s="80">
        <v>637.77</v>
      </c>
    </row>
    <row r="66" spans="1:6" ht="15" thickBot="1" x14ac:dyDescent="0.35">
      <c r="A66" s="80">
        <v>1210170</v>
      </c>
      <c r="B66" s="81">
        <v>45471</v>
      </c>
      <c r="C66" s="80" t="s">
        <v>54</v>
      </c>
      <c r="D66" s="80">
        <v>7.51</v>
      </c>
      <c r="E66" s="80"/>
      <c r="F66" s="80">
        <v>630.26</v>
      </c>
    </row>
    <row r="67" spans="1:6" ht="15" thickBot="1" x14ac:dyDescent="0.35">
      <c r="A67" s="80">
        <v>1210174</v>
      </c>
      <c r="B67" s="81">
        <v>45471</v>
      </c>
      <c r="C67" s="80" t="s">
        <v>84</v>
      </c>
      <c r="D67" s="80"/>
      <c r="E67" s="80">
        <v>50</v>
      </c>
      <c r="F67" s="80">
        <v>680.26</v>
      </c>
    </row>
    <row r="68" spans="1:6" ht="15" thickBot="1" x14ac:dyDescent="0.35">
      <c r="A68" s="82">
        <v>1210177</v>
      </c>
      <c r="B68" s="83">
        <v>45471</v>
      </c>
      <c r="C68" s="82" t="s">
        <v>85</v>
      </c>
      <c r="D68" s="82">
        <v>7.51</v>
      </c>
      <c r="E68" s="82"/>
      <c r="F68" s="82">
        <v>672.75</v>
      </c>
    </row>
    <row r="69" spans="1:6" ht="15" thickBot="1" x14ac:dyDescent="0.35">
      <c r="A69" s="80">
        <v>1210181</v>
      </c>
      <c r="B69" s="81">
        <v>45471</v>
      </c>
      <c r="C69" s="80" t="s">
        <v>57</v>
      </c>
      <c r="D69" s="80"/>
      <c r="E69" s="80">
        <v>50</v>
      </c>
      <c r="F69" s="80">
        <v>722.75</v>
      </c>
    </row>
    <row r="70" spans="1:6" ht="15" thickBot="1" x14ac:dyDescent="0.35">
      <c r="A70" s="80">
        <v>1210184</v>
      </c>
      <c r="B70" s="81">
        <v>45471</v>
      </c>
      <c r="C70" s="80" t="s">
        <v>58</v>
      </c>
      <c r="D70" s="80">
        <v>7.51</v>
      </c>
      <c r="E70" s="80"/>
      <c r="F70" s="80">
        <v>715.24</v>
      </c>
    </row>
    <row r="71" spans="1:6" ht="15" thickBot="1" x14ac:dyDescent="0.35">
      <c r="A71" s="80">
        <v>1210188</v>
      </c>
      <c r="B71" s="81">
        <v>45471</v>
      </c>
      <c r="C71" s="80" t="s">
        <v>45</v>
      </c>
      <c r="D71" s="80"/>
      <c r="E71" s="80">
        <v>50</v>
      </c>
      <c r="F71" s="80">
        <v>765.24</v>
      </c>
    </row>
    <row r="72" spans="1:6" ht="15" thickBot="1" x14ac:dyDescent="0.35">
      <c r="A72" s="80">
        <v>1210191</v>
      </c>
      <c r="B72" s="81">
        <v>45471</v>
      </c>
      <c r="C72" s="80" t="s">
        <v>46</v>
      </c>
      <c r="D72" s="80">
        <v>7.51</v>
      </c>
      <c r="E72" s="80"/>
      <c r="F72" s="80">
        <v>757.73</v>
      </c>
    </row>
    <row r="73" spans="1:6" ht="15" thickBot="1" x14ac:dyDescent="0.35">
      <c r="A73" s="80">
        <v>1210195</v>
      </c>
      <c r="B73" s="81">
        <v>45471</v>
      </c>
      <c r="C73" s="80" t="s">
        <v>71</v>
      </c>
      <c r="D73" s="80"/>
      <c r="E73" s="80">
        <v>50</v>
      </c>
      <c r="F73" s="80">
        <v>807.73</v>
      </c>
    </row>
    <row r="74" spans="1:6" ht="15" thickBot="1" x14ac:dyDescent="0.35">
      <c r="A74" s="80">
        <v>1210198</v>
      </c>
      <c r="B74" s="81">
        <v>45471</v>
      </c>
      <c r="C74" s="80" t="s">
        <v>72</v>
      </c>
      <c r="D74" s="80">
        <v>7.51</v>
      </c>
      <c r="E74" s="80"/>
      <c r="F74" s="80">
        <v>800.22</v>
      </c>
    </row>
    <row r="75" spans="1:6" x14ac:dyDescent="0.3">
      <c r="A75" s="80"/>
      <c r="B75" s="80"/>
      <c r="C75" s="80"/>
      <c r="D75" s="84">
        <v>1264.79</v>
      </c>
      <c r="E75" s="84">
        <f>2065.01-E11-E24-E47</f>
        <v>1550.0000000000002</v>
      </c>
      <c r="F75" s="84">
        <v>800.22</v>
      </c>
    </row>
    <row r="76" spans="1:6" x14ac:dyDescent="0.3">
      <c r="D76">
        <f>D75-D46-D25</f>
        <v>1149.78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Income &amp; exp 12 months new appr</vt:lpstr>
      <vt:lpstr>Income &amp; exp 12 months new  (2)</vt:lpstr>
      <vt:lpstr>LANDLORD ACC DETAILED VIEW-LEVY</vt:lpstr>
      <vt:lpstr>NOV 25</vt:lpstr>
      <vt:lpstr>October25</vt:lpstr>
      <vt:lpstr>Sept</vt:lpstr>
      <vt:lpstr>August25</vt:lpstr>
      <vt:lpstr>june25</vt:lpstr>
      <vt:lpstr>May25</vt:lpstr>
      <vt:lpstr>April 25</vt:lpstr>
      <vt:lpstr>MARCH 25</vt:lpstr>
      <vt:lpstr>FEB</vt:lpstr>
      <vt:lpstr>January</vt:lpstr>
      <vt:lpstr>OCtober</vt:lpstr>
      <vt:lpstr>September</vt:lpstr>
      <vt:lpstr>August</vt:lpstr>
      <vt:lpstr>july 25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Leosa</dc:creator>
  <cp:lastModifiedBy>Gift Chipunza</cp:lastModifiedBy>
  <cp:lastPrinted>2024-09-23T11:11:22Z</cp:lastPrinted>
  <dcterms:created xsi:type="dcterms:W3CDTF">2023-02-06T07:56:25Z</dcterms:created>
  <dcterms:modified xsi:type="dcterms:W3CDTF">2026-03-16T08:27:16Z</dcterms:modified>
</cp:coreProperties>
</file>